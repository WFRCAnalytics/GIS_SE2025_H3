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Shared drives\DOT_Travel Demand Models\1.0 Active Projects\Model Development\udot-SE-forecast-tool\DATA SE (for models)\43_SUMMIT\"/>
    </mc:Choice>
  </mc:AlternateContent>
  <xr:revisionPtr revIDLastSave="0" documentId="8_{FB0D8EC0-AC69-42DA-869D-DEA4DE090723}" xr6:coauthVersionLast="47" xr6:coauthVersionMax="47" xr10:uidLastSave="{00000000-0000-0000-0000-000000000000}"/>
  <bookViews>
    <workbookView xWindow="-120" yWindow="-120" windowWidth="29040" windowHeight="15720" xr2:uid="{FCD67614-7F52-4FC8-8E5C-8FCE2EB7864A}"/>
  </bookViews>
  <sheets>
    <sheet name="Sheet1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Sheet1!$A$1:$V$279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7" i="1" l="1"/>
  <c r="U18" i="1"/>
  <c r="U19" i="1"/>
  <c r="U20" i="1"/>
  <c r="U26" i="1"/>
  <c r="U27" i="1"/>
  <c r="U30" i="1"/>
  <c r="U31" i="1"/>
  <c r="U37" i="1"/>
  <c r="U39" i="1"/>
  <c r="U40" i="1"/>
  <c r="U41" i="1"/>
  <c r="U46" i="1"/>
  <c r="U47" i="1"/>
  <c r="U74" i="1"/>
  <c r="U77" i="1"/>
  <c r="U78" i="1"/>
  <c r="U79" i="1"/>
  <c r="U80" i="1"/>
  <c r="U81" i="1"/>
  <c r="U97" i="1"/>
  <c r="U98" i="1"/>
  <c r="U99" i="1"/>
  <c r="U100" i="1"/>
  <c r="U101" i="1"/>
  <c r="U106" i="1"/>
  <c r="U107" i="1"/>
  <c r="U110" i="1"/>
  <c r="U111" i="1"/>
  <c r="U117" i="1"/>
  <c r="U119" i="1"/>
  <c r="U120" i="1"/>
  <c r="U121" i="1"/>
  <c r="U126" i="1"/>
  <c r="U127" i="1"/>
  <c r="U133" i="1"/>
  <c r="U154" i="1"/>
  <c r="U157" i="1"/>
  <c r="U158" i="1"/>
  <c r="U159" i="1"/>
  <c r="U160" i="1"/>
  <c r="U161" i="1"/>
  <c r="U177" i="1"/>
  <c r="U178" i="1"/>
  <c r="U179" i="1"/>
  <c r="U180" i="1"/>
  <c r="U181" i="1"/>
  <c r="U186" i="1"/>
  <c r="U187" i="1"/>
  <c r="U190" i="1"/>
  <c r="U191" i="1"/>
  <c r="U197" i="1"/>
  <c r="U199" i="1"/>
  <c r="U200" i="1"/>
  <c r="U201" i="1"/>
  <c r="U206" i="1"/>
  <c r="U207" i="1"/>
  <c r="U213" i="1"/>
  <c r="U234" i="1"/>
  <c r="U237" i="1"/>
  <c r="U238" i="1"/>
  <c r="U239" i="1"/>
  <c r="U240" i="1"/>
  <c r="U246" i="1"/>
  <c r="U257" i="1"/>
  <c r="U258" i="1"/>
  <c r="U259" i="1"/>
  <c r="U260" i="1"/>
  <c r="U270" i="1"/>
  <c r="U271" i="1"/>
  <c r="U272" i="1"/>
  <c r="U277" i="1"/>
  <c r="U278" i="1"/>
  <c r="U279" i="1"/>
  <c r="Q3" i="1"/>
  <c r="U3" i="1" s="1"/>
  <c r="Q4" i="1"/>
  <c r="U4" i="1" s="1"/>
  <c r="Q5" i="1"/>
  <c r="U5" i="1" s="1"/>
  <c r="Q6" i="1"/>
  <c r="U6" i="1" s="1"/>
  <c r="Q7" i="1"/>
  <c r="U7" i="1" s="1"/>
  <c r="Q8" i="1"/>
  <c r="U8" i="1" s="1"/>
  <c r="Q9" i="1"/>
  <c r="U9" i="1" s="1"/>
  <c r="Q10" i="1"/>
  <c r="U10" i="1" s="1"/>
  <c r="Q11" i="1"/>
  <c r="U11" i="1" s="1"/>
  <c r="Q12" i="1"/>
  <c r="U12" i="1" s="1"/>
  <c r="Q13" i="1"/>
  <c r="U13" i="1" s="1"/>
  <c r="Q14" i="1"/>
  <c r="U14" i="1" s="1"/>
  <c r="Q15" i="1"/>
  <c r="U15" i="1" s="1"/>
  <c r="Q16" i="1"/>
  <c r="U16" i="1" s="1"/>
  <c r="Q17" i="1"/>
  <c r="Q18" i="1"/>
  <c r="Q19" i="1"/>
  <c r="Q20" i="1"/>
  <c r="Q21" i="1"/>
  <c r="U21" i="1" s="1"/>
  <c r="Q22" i="1"/>
  <c r="U22" i="1" s="1"/>
  <c r="Q23" i="1"/>
  <c r="U23" i="1" s="1"/>
  <c r="Q24" i="1"/>
  <c r="U24" i="1" s="1"/>
  <c r="Q25" i="1"/>
  <c r="U25" i="1" s="1"/>
  <c r="Q26" i="1"/>
  <c r="Q27" i="1"/>
  <c r="Q28" i="1"/>
  <c r="U28" i="1" s="1"/>
  <c r="Q29" i="1"/>
  <c r="U29" i="1" s="1"/>
  <c r="Q30" i="1"/>
  <c r="Q31" i="1"/>
  <c r="Q32" i="1"/>
  <c r="U32" i="1" s="1"/>
  <c r="Q33" i="1"/>
  <c r="U33" i="1" s="1"/>
  <c r="Q34" i="1"/>
  <c r="U34" i="1" s="1"/>
  <c r="Q35" i="1"/>
  <c r="U35" i="1" s="1"/>
  <c r="Q36" i="1"/>
  <c r="U36" i="1" s="1"/>
  <c r="Q37" i="1"/>
  <c r="Q38" i="1"/>
  <c r="U38" i="1" s="1"/>
  <c r="Q39" i="1"/>
  <c r="Q40" i="1"/>
  <c r="Q41" i="1"/>
  <c r="Q42" i="1"/>
  <c r="U42" i="1" s="1"/>
  <c r="Q43" i="1"/>
  <c r="U43" i="1" s="1"/>
  <c r="Q44" i="1"/>
  <c r="U44" i="1" s="1"/>
  <c r="Q45" i="1"/>
  <c r="U45" i="1" s="1"/>
  <c r="Q46" i="1"/>
  <c r="Q47" i="1"/>
  <c r="Q48" i="1"/>
  <c r="U48" i="1" s="1"/>
  <c r="Q49" i="1"/>
  <c r="U49" i="1" s="1"/>
  <c r="Q50" i="1"/>
  <c r="W50" i="1" s="1"/>
  <c r="Q51" i="1"/>
  <c r="U51" i="1" s="1"/>
  <c r="Q52" i="1"/>
  <c r="U52" i="1" s="1"/>
  <c r="Q53" i="1"/>
  <c r="U53" i="1" s="1"/>
  <c r="Q54" i="1"/>
  <c r="U54" i="1" s="1"/>
  <c r="Q55" i="1"/>
  <c r="U55" i="1" s="1"/>
  <c r="Q56" i="1"/>
  <c r="U56" i="1" s="1"/>
  <c r="Q57" i="1"/>
  <c r="U57" i="1" s="1"/>
  <c r="Q58" i="1"/>
  <c r="U58" i="1" s="1"/>
  <c r="Q59" i="1"/>
  <c r="U59" i="1" s="1"/>
  <c r="Q60" i="1"/>
  <c r="U60" i="1" s="1"/>
  <c r="Q61" i="1"/>
  <c r="U61" i="1" s="1"/>
  <c r="Q62" i="1"/>
  <c r="U62" i="1" s="1"/>
  <c r="Q63" i="1"/>
  <c r="U63" i="1" s="1"/>
  <c r="Q64" i="1"/>
  <c r="U64" i="1" s="1"/>
  <c r="Q65" i="1"/>
  <c r="U65" i="1" s="1"/>
  <c r="Q66" i="1"/>
  <c r="U66" i="1" s="1"/>
  <c r="Q67" i="1"/>
  <c r="U67" i="1" s="1"/>
  <c r="Q68" i="1"/>
  <c r="U68" i="1" s="1"/>
  <c r="Q69" i="1"/>
  <c r="U69" i="1" s="1"/>
  <c r="Q70" i="1"/>
  <c r="U70" i="1" s="1"/>
  <c r="Q71" i="1"/>
  <c r="U71" i="1" s="1"/>
  <c r="Q72" i="1"/>
  <c r="U72" i="1" s="1"/>
  <c r="Q73" i="1"/>
  <c r="U73" i="1" s="1"/>
  <c r="Q74" i="1"/>
  <c r="Q75" i="1"/>
  <c r="U75" i="1" s="1"/>
  <c r="Q76" i="1"/>
  <c r="U76" i="1" s="1"/>
  <c r="Q77" i="1"/>
  <c r="Q78" i="1"/>
  <c r="Q79" i="1"/>
  <c r="Q80" i="1"/>
  <c r="Q81" i="1"/>
  <c r="Q82" i="1"/>
  <c r="U82" i="1" s="1"/>
  <c r="Q83" i="1"/>
  <c r="U83" i="1" s="1"/>
  <c r="Q84" i="1"/>
  <c r="U84" i="1" s="1"/>
  <c r="Q85" i="1"/>
  <c r="U85" i="1" s="1"/>
  <c r="Q86" i="1"/>
  <c r="U86" i="1" s="1"/>
  <c r="Q87" i="1"/>
  <c r="U87" i="1" s="1"/>
  <c r="Q88" i="1"/>
  <c r="U88" i="1" s="1"/>
  <c r="Q89" i="1"/>
  <c r="U89" i="1" s="1"/>
  <c r="Q90" i="1"/>
  <c r="U90" i="1" s="1"/>
  <c r="Q91" i="1"/>
  <c r="U91" i="1" s="1"/>
  <c r="Q92" i="1"/>
  <c r="U92" i="1" s="1"/>
  <c r="Q93" i="1"/>
  <c r="U93" i="1" s="1"/>
  <c r="Q94" i="1"/>
  <c r="U94" i="1" s="1"/>
  <c r="Q95" i="1"/>
  <c r="U95" i="1" s="1"/>
  <c r="Q96" i="1"/>
  <c r="U96" i="1" s="1"/>
  <c r="Q97" i="1"/>
  <c r="Q98" i="1"/>
  <c r="Q99" i="1"/>
  <c r="Q100" i="1"/>
  <c r="Q101" i="1"/>
  <c r="Q102" i="1"/>
  <c r="U102" i="1" s="1"/>
  <c r="Q103" i="1"/>
  <c r="U103" i="1" s="1"/>
  <c r="Q104" i="1"/>
  <c r="U104" i="1" s="1"/>
  <c r="Q105" i="1"/>
  <c r="U105" i="1" s="1"/>
  <c r="Q106" i="1"/>
  <c r="Q107" i="1"/>
  <c r="Q108" i="1"/>
  <c r="U108" i="1" s="1"/>
  <c r="Q109" i="1"/>
  <c r="U109" i="1" s="1"/>
  <c r="Q110" i="1"/>
  <c r="Q111" i="1"/>
  <c r="Q112" i="1"/>
  <c r="U112" i="1" s="1"/>
  <c r="Q113" i="1"/>
  <c r="U113" i="1" s="1"/>
  <c r="Q114" i="1"/>
  <c r="U114" i="1" s="1"/>
  <c r="Q115" i="1"/>
  <c r="U115" i="1" s="1"/>
  <c r="Q116" i="1"/>
  <c r="U116" i="1" s="1"/>
  <c r="Q117" i="1"/>
  <c r="Q118" i="1"/>
  <c r="U118" i="1" s="1"/>
  <c r="Q119" i="1"/>
  <c r="Q120" i="1"/>
  <c r="Q121" i="1"/>
  <c r="Q122" i="1"/>
  <c r="U122" i="1" s="1"/>
  <c r="Q123" i="1"/>
  <c r="U123" i="1" s="1"/>
  <c r="Q124" i="1"/>
  <c r="U124" i="1" s="1"/>
  <c r="Q125" i="1"/>
  <c r="U125" i="1" s="1"/>
  <c r="Q126" i="1"/>
  <c r="Q127" i="1"/>
  <c r="Q128" i="1"/>
  <c r="U128" i="1" s="1"/>
  <c r="Q129" i="1"/>
  <c r="U129" i="1" s="1"/>
  <c r="Q130" i="1"/>
  <c r="U130" i="1" s="1"/>
  <c r="Q131" i="1"/>
  <c r="U131" i="1" s="1"/>
  <c r="Q132" i="1"/>
  <c r="U132" i="1" s="1"/>
  <c r="Q133" i="1"/>
  <c r="Q134" i="1"/>
  <c r="U134" i="1" s="1"/>
  <c r="Q135" i="1"/>
  <c r="U135" i="1" s="1"/>
  <c r="Q136" i="1"/>
  <c r="U136" i="1" s="1"/>
  <c r="Q137" i="1"/>
  <c r="U137" i="1" s="1"/>
  <c r="Q138" i="1"/>
  <c r="U138" i="1" s="1"/>
  <c r="Q139" i="1"/>
  <c r="U139" i="1" s="1"/>
  <c r="Q140" i="1"/>
  <c r="U140" i="1" s="1"/>
  <c r="Q141" i="1"/>
  <c r="U141" i="1" s="1"/>
  <c r="Q142" i="1"/>
  <c r="U142" i="1" s="1"/>
  <c r="Q143" i="1"/>
  <c r="U143" i="1" s="1"/>
  <c r="Q144" i="1"/>
  <c r="U144" i="1" s="1"/>
  <c r="Q145" i="1"/>
  <c r="U145" i="1" s="1"/>
  <c r="Q146" i="1"/>
  <c r="U146" i="1" s="1"/>
  <c r="Q147" i="1"/>
  <c r="U147" i="1" s="1"/>
  <c r="Q148" i="1"/>
  <c r="U148" i="1" s="1"/>
  <c r="Q149" i="1"/>
  <c r="U149" i="1" s="1"/>
  <c r="Q150" i="1"/>
  <c r="U150" i="1" s="1"/>
  <c r="Q151" i="1"/>
  <c r="U151" i="1" s="1"/>
  <c r="Q152" i="1"/>
  <c r="U152" i="1" s="1"/>
  <c r="Q153" i="1"/>
  <c r="U153" i="1" s="1"/>
  <c r="Q154" i="1"/>
  <c r="Q155" i="1"/>
  <c r="U155" i="1" s="1"/>
  <c r="Q156" i="1"/>
  <c r="U156" i="1" s="1"/>
  <c r="Q157" i="1"/>
  <c r="Q158" i="1"/>
  <c r="Q159" i="1"/>
  <c r="Q160" i="1"/>
  <c r="Q161" i="1"/>
  <c r="Q162" i="1"/>
  <c r="U162" i="1" s="1"/>
  <c r="Q163" i="1"/>
  <c r="U163" i="1" s="1"/>
  <c r="Q164" i="1"/>
  <c r="U164" i="1" s="1"/>
  <c r="Q165" i="1"/>
  <c r="U165" i="1" s="1"/>
  <c r="Q166" i="1"/>
  <c r="U166" i="1" s="1"/>
  <c r="Q167" i="1"/>
  <c r="U167" i="1" s="1"/>
  <c r="Q168" i="1"/>
  <c r="U168" i="1" s="1"/>
  <c r="Q169" i="1"/>
  <c r="U169" i="1" s="1"/>
  <c r="Q170" i="1"/>
  <c r="U170" i="1" s="1"/>
  <c r="Q171" i="1"/>
  <c r="U171" i="1" s="1"/>
  <c r="Q172" i="1"/>
  <c r="U172" i="1" s="1"/>
  <c r="Q173" i="1"/>
  <c r="U173" i="1" s="1"/>
  <c r="Q174" i="1"/>
  <c r="U174" i="1" s="1"/>
  <c r="Q175" i="1"/>
  <c r="U175" i="1" s="1"/>
  <c r="Q176" i="1"/>
  <c r="U176" i="1" s="1"/>
  <c r="Q177" i="1"/>
  <c r="Q178" i="1"/>
  <c r="Q179" i="1"/>
  <c r="Q180" i="1"/>
  <c r="Q181" i="1"/>
  <c r="Q182" i="1"/>
  <c r="U182" i="1" s="1"/>
  <c r="Q183" i="1"/>
  <c r="U183" i="1" s="1"/>
  <c r="Q184" i="1"/>
  <c r="U184" i="1" s="1"/>
  <c r="Q185" i="1"/>
  <c r="U185" i="1" s="1"/>
  <c r="Q186" i="1"/>
  <c r="Q187" i="1"/>
  <c r="Q188" i="1"/>
  <c r="U188" i="1" s="1"/>
  <c r="Q189" i="1"/>
  <c r="U189" i="1" s="1"/>
  <c r="Q190" i="1"/>
  <c r="Q191" i="1"/>
  <c r="Q192" i="1"/>
  <c r="U192" i="1" s="1"/>
  <c r="Q193" i="1"/>
  <c r="U193" i="1" s="1"/>
  <c r="Q194" i="1"/>
  <c r="U194" i="1" s="1"/>
  <c r="Q195" i="1"/>
  <c r="U195" i="1" s="1"/>
  <c r="Q196" i="1"/>
  <c r="U196" i="1" s="1"/>
  <c r="Q197" i="1"/>
  <c r="Q198" i="1"/>
  <c r="U198" i="1" s="1"/>
  <c r="Q199" i="1"/>
  <c r="Q200" i="1"/>
  <c r="Q201" i="1"/>
  <c r="Q202" i="1"/>
  <c r="U202" i="1" s="1"/>
  <c r="Q203" i="1"/>
  <c r="U203" i="1" s="1"/>
  <c r="Q204" i="1"/>
  <c r="U204" i="1" s="1"/>
  <c r="Q205" i="1"/>
  <c r="U205" i="1" s="1"/>
  <c r="Q206" i="1"/>
  <c r="Q207" i="1"/>
  <c r="Q208" i="1"/>
  <c r="U208" i="1" s="1"/>
  <c r="Q209" i="1"/>
  <c r="U209" i="1" s="1"/>
  <c r="Q210" i="1"/>
  <c r="U210" i="1" s="1"/>
  <c r="Q211" i="1"/>
  <c r="U211" i="1" s="1"/>
  <c r="Q212" i="1"/>
  <c r="U212" i="1" s="1"/>
  <c r="Q213" i="1"/>
  <c r="Q214" i="1"/>
  <c r="U214" i="1" s="1"/>
  <c r="Q215" i="1"/>
  <c r="U215" i="1" s="1"/>
  <c r="Q216" i="1"/>
  <c r="U216" i="1" s="1"/>
  <c r="Q217" i="1"/>
  <c r="U217" i="1" s="1"/>
  <c r="Q218" i="1"/>
  <c r="U218" i="1" s="1"/>
  <c r="Q219" i="1"/>
  <c r="U219" i="1" s="1"/>
  <c r="Q220" i="1"/>
  <c r="U220" i="1" s="1"/>
  <c r="Q221" i="1"/>
  <c r="U221" i="1" s="1"/>
  <c r="Q222" i="1"/>
  <c r="U222" i="1" s="1"/>
  <c r="Q223" i="1"/>
  <c r="U223" i="1" s="1"/>
  <c r="Q224" i="1"/>
  <c r="U224" i="1" s="1"/>
  <c r="Q225" i="1"/>
  <c r="U225" i="1" s="1"/>
  <c r="Q226" i="1"/>
  <c r="U226" i="1" s="1"/>
  <c r="Q227" i="1"/>
  <c r="U227" i="1" s="1"/>
  <c r="Q228" i="1"/>
  <c r="U228" i="1" s="1"/>
  <c r="Q229" i="1"/>
  <c r="U229" i="1" s="1"/>
  <c r="Q230" i="1"/>
  <c r="U230" i="1" s="1"/>
  <c r="Q231" i="1"/>
  <c r="U231" i="1" s="1"/>
  <c r="Q232" i="1"/>
  <c r="U232" i="1" s="1"/>
  <c r="Q233" i="1"/>
  <c r="U233" i="1" s="1"/>
  <c r="Q234" i="1"/>
  <c r="Q235" i="1"/>
  <c r="U235" i="1" s="1"/>
  <c r="Q236" i="1"/>
  <c r="U236" i="1" s="1"/>
  <c r="Q237" i="1"/>
  <c r="Q238" i="1"/>
  <c r="Q239" i="1"/>
  <c r="Q240" i="1"/>
  <c r="Q241" i="1"/>
  <c r="U241" i="1" s="1"/>
  <c r="Q242" i="1"/>
  <c r="U242" i="1" s="1"/>
  <c r="Q243" i="1"/>
  <c r="U243" i="1" s="1"/>
  <c r="Q244" i="1"/>
  <c r="U244" i="1" s="1"/>
  <c r="Q245" i="1"/>
  <c r="U245" i="1" s="1"/>
  <c r="Q246" i="1"/>
  <c r="Q247" i="1"/>
  <c r="U247" i="1" s="1"/>
  <c r="Q248" i="1"/>
  <c r="U248" i="1" s="1"/>
  <c r="Q249" i="1"/>
  <c r="U249" i="1" s="1"/>
  <c r="Q250" i="1"/>
  <c r="U250" i="1" s="1"/>
  <c r="Q251" i="1"/>
  <c r="U251" i="1" s="1"/>
  <c r="Q252" i="1"/>
  <c r="U252" i="1" s="1"/>
  <c r="Q253" i="1"/>
  <c r="U253" i="1" s="1"/>
  <c r="Q254" i="1"/>
  <c r="U254" i="1" s="1"/>
  <c r="Q255" i="1"/>
  <c r="U255" i="1" s="1"/>
  <c r="Q256" i="1"/>
  <c r="U256" i="1" s="1"/>
  <c r="Q257" i="1"/>
  <c r="Q258" i="1"/>
  <c r="Q259" i="1"/>
  <c r="Q260" i="1"/>
  <c r="Q261" i="1"/>
  <c r="U261" i="1" s="1"/>
  <c r="Q262" i="1"/>
  <c r="U262" i="1" s="1"/>
  <c r="Q263" i="1"/>
  <c r="U263" i="1" s="1"/>
  <c r="Q264" i="1"/>
  <c r="U264" i="1" s="1"/>
  <c r="Q265" i="1"/>
  <c r="U265" i="1" s="1"/>
  <c r="Q266" i="1"/>
  <c r="U266" i="1" s="1"/>
  <c r="Q267" i="1"/>
  <c r="U267" i="1" s="1"/>
  <c r="Q268" i="1"/>
  <c r="U268" i="1" s="1"/>
  <c r="Q269" i="1"/>
  <c r="U269" i="1" s="1"/>
  <c r="Q270" i="1"/>
  <c r="Q271" i="1"/>
  <c r="Q272" i="1"/>
  <c r="Q273" i="1"/>
  <c r="U273" i="1" s="1"/>
  <c r="Q274" i="1"/>
  <c r="U274" i="1" s="1"/>
  <c r="Q275" i="1"/>
  <c r="U275" i="1" s="1"/>
  <c r="Q276" i="1"/>
  <c r="U276" i="1" s="1"/>
  <c r="Q277" i="1"/>
  <c r="Q278" i="1"/>
  <c r="Q279" i="1"/>
  <c r="Q2" i="1"/>
  <c r="U2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" i="1"/>
  <c r="Q1" i="1"/>
  <c r="M1" i="1"/>
  <c r="I1" i="1"/>
  <c r="N127" i="1"/>
  <c r="R127" i="1" s="1"/>
  <c r="P127" i="1"/>
  <c r="T127" i="1" s="1"/>
  <c r="N3" i="1"/>
  <c r="R3" i="1" s="1"/>
  <c r="O3" i="1"/>
  <c r="S3" i="1" s="1"/>
  <c r="P3" i="1"/>
  <c r="T3" i="1" s="1"/>
  <c r="N4" i="1"/>
  <c r="R4" i="1" s="1"/>
  <c r="O4" i="1"/>
  <c r="S4" i="1" s="1"/>
  <c r="P4" i="1"/>
  <c r="T4" i="1" s="1"/>
  <c r="N5" i="1"/>
  <c r="R5" i="1" s="1"/>
  <c r="O5" i="1"/>
  <c r="S5" i="1" s="1"/>
  <c r="P5" i="1"/>
  <c r="T5" i="1" s="1"/>
  <c r="N6" i="1"/>
  <c r="R6" i="1" s="1"/>
  <c r="O6" i="1"/>
  <c r="S6" i="1" s="1"/>
  <c r="P6" i="1"/>
  <c r="T6" i="1" s="1"/>
  <c r="N7" i="1"/>
  <c r="R7" i="1" s="1"/>
  <c r="O7" i="1"/>
  <c r="S7" i="1" s="1"/>
  <c r="P7" i="1"/>
  <c r="T7" i="1" s="1"/>
  <c r="N8" i="1"/>
  <c r="R8" i="1" s="1"/>
  <c r="O8" i="1"/>
  <c r="S8" i="1" s="1"/>
  <c r="P8" i="1"/>
  <c r="T8" i="1" s="1"/>
  <c r="N9" i="1"/>
  <c r="R9" i="1" s="1"/>
  <c r="O9" i="1"/>
  <c r="S9" i="1" s="1"/>
  <c r="P9" i="1"/>
  <c r="T9" i="1" s="1"/>
  <c r="N10" i="1"/>
  <c r="R10" i="1" s="1"/>
  <c r="O10" i="1"/>
  <c r="S10" i="1" s="1"/>
  <c r="P10" i="1"/>
  <c r="T10" i="1" s="1"/>
  <c r="N11" i="1"/>
  <c r="R11" i="1" s="1"/>
  <c r="O11" i="1"/>
  <c r="S11" i="1" s="1"/>
  <c r="P11" i="1"/>
  <c r="T11" i="1" s="1"/>
  <c r="N12" i="1"/>
  <c r="R12" i="1" s="1"/>
  <c r="O12" i="1"/>
  <c r="S12" i="1" s="1"/>
  <c r="P12" i="1"/>
  <c r="T12" i="1" s="1"/>
  <c r="N13" i="1"/>
  <c r="R13" i="1" s="1"/>
  <c r="O13" i="1"/>
  <c r="S13" i="1" s="1"/>
  <c r="P13" i="1"/>
  <c r="T13" i="1" s="1"/>
  <c r="N14" i="1"/>
  <c r="R14" i="1" s="1"/>
  <c r="O14" i="1"/>
  <c r="S14" i="1" s="1"/>
  <c r="P14" i="1"/>
  <c r="T14" i="1" s="1"/>
  <c r="N15" i="1"/>
  <c r="R15" i="1" s="1"/>
  <c r="O15" i="1"/>
  <c r="S15" i="1" s="1"/>
  <c r="P15" i="1"/>
  <c r="T15" i="1" s="1"/>
  <c r="N16" i="1"/>
  <c r="R16" i="1" s="1"/>
  <c r="O16" i="1"/>
  <c r="S16" i="1" s="1"/>
  <c r="P16" i="1"/>
  <c r="T16" i="1" s="1"/>
  <c r="N17" i="1"/>
  <c r="R17" i="1" s="1"/>
  <c r="O17" i="1"/>
  <c r="S17" i="1" s="1"/>
  <c r="P17" i="1"/>
  <c r="T17" i="1" s="1"/>
  <c r="N18" i="1"/>
  <c r="R18" i="1" s="1"/>
  <c r="O18" i="1"/>
  <c r="S18" i="1" s="1"/>
  <c r="P18" i="1"/>
  <c r="T18" i="1" s="1"/>
  <c r="N19" i="1"/>
  <c r="R19" i="1" s="1"/>
  <c r="O19" i="1"/>
  <c r="S19" i="1" s="1"/>
  <c r="P19" i="1"/>
  <c r="T19" i="1" s="1"/>
  <c r="N20" i="1"/>
  <c r="R20" i="1" s="1"/>
  <c r="O20" i="1"/>
  <c r="S20" i="1" s="1"/>
  <c r="P20" i="1"/>
  <c r="T20" i="1" s="1"/>
  <c r="N21" i="1"/>
  <c r="R21" i="1" s="1"/>
  <c r="O21" i="1"/>
  <c r="S21" i="1" s="1"/>
  <c r="P21" i="1"/>
  <c r="T21" i="1" s="1"/>
  <c r="N22" i="1"/>
  <c r="R22" i="1" s="1"/>
  <c r="O22" i="1"/>
  <c r="S22" i="1" s="1"/>
  <c r="P22" i="1"/>
  <c r="T22" i="1" s="1"/>
  <c r="N23" i="1"/>
  <c r="R23" i="1" s="1"/>
  <c r="O23" i="1"/>
  <c r="S23" i="1" s="1"/>
  <c r="P23" i="1"/>
  <c r="T23" i="1" s="1"/>
  <c r="N24" i="1"/>
  <c r="R24" i="1" s="1"/>
  <c r="O24" i="1"/>
  <c r="S24" i="1" s="1"/>
  <c r="P24" i="1"/>
  <c r="T24" i="1" s="1"/>
  <c r="N25" i="1"/>
  <c r="R25" i="1" s="1"/>
  <c r="O25" i="1"/>
  <c r="S25" i="1" s="1"/>
  <c r="P25" i="1"/>
  <c r="T25" i="1" s="1"/>
  <c r="N26" i="1"/>
  <c r="R26" i="1" s="1"/>
  <c r="O26" i="1"/>
  <c r="S26" i="1" s="1"/>
  <c r="P26" i="1"/>
  <c r="T26" i="1" s="1"/>
  <c r="N27" i="1"/>
  <c r="R27" i="1" s="1"/>
  <c r="O27" i="1"/>
  <c r="S27" i="1" s="1"/>
  <c r="P27" i="1"/>
  <c r="T27" i="1" s="1"/>
  <c r="N28" i="1"/>
  <c r="R28" i="1" s="1"/>
  <c r="O28" i="1"/>
  <c r="S28" i="1" s="1"/>
  <c r="P28" i="1"/>
  <c r="T28" i="1" s="1"/>
  <c r="N29" i="1"/>
  <c r="R29" i="1" s="1"/>
  <c r="O29" i="1"/>
  <c r="S29" i="1" s="1"/>
  <c r="P29" i="1"/>
  <c r="T29" i="1" s="1"/>
  <c r="N30" i="1"/>
  <c r="R30" i="1" s="1"/>
  <c r="O30" i="1"/>
  <c r="S30" i="1" s="1"/>
  <c r="P30" i="1"/>
  <c r="T30" i="1" s="1"/>
  <c r="N31" i="1"/>
  <c r="R31" i="1" s="1"/>
  <c r="O31" i="1"/>
  <c r="S31" i="1" s="1"/>
  <c r="P31" i="1"/>
  <c r="T31" i="1" s="1"/>
  <c r="N32" i="1"/>
  <c r="R32" i="1" s="1"/>
  <c r="O32" i="1"/>
  <c r="S32" i="1" s="1"/>
  <c r="P32" i="1"/>
  <c r="T32" i="1" s="1"/>
  <c r="N33" i="1"/>
  <c r="R33" i="1" s="1"/>
  <c r="O33" i="1"/>
  <c r="S33" i="1" s="1"/>
  <c r="P33" i="1"/>
  <c r="T33" i="1" s="1"/>
  <c r="N34" i="1"/>
  <c r="R34" i="1" s="1"/>
  <c r="O34" i="1"/>
  <c r="S34" i="1" s="1"/>
  <c r="P34" i="1"/>
  <c r="T34" i="1" s="1"/>
  <c r="N35" i="1"/>
  <c r="R35" i="1" s="1"/>
  <c r="O35" i="1"/>
  <c r="S35" i="1" s="1"/>
  <c r="P35" i="1"/>
  <c r="T35" i="1" s="1"/>
  <c r="N36" i="1"/>
  <c r="R36" i="1" s="1"/>
  <c r="O36" i="1"/>
  <c r="S36" i="1" s="1"/>
  <c r="P36" i="1"/>
  <c r="T36" i="1" s="1"/>
  <c r="N37" i="1"/>
  <c r="R37" i="1" s="1"/>
  <c r="O37" i="1"/>
  <c r="S37" i="1" s="1"/>
  <c r="P37" i="1"/>
  <c r="T37" i="1" s="1"/>
  <c r="N38" i="1"/>
  <c r="R38" i="1" s="1"/>
  <c r="O38" i="1"/>
  <c r="S38" i="1" s="1"/>
  <c r="P38" i="1"/>
  <c r="T38" i="1" s="1"/>
  <c r="N39" i="1"/>
  <c r="R39" i="1" s="1"/>
  <c r="O39" i="1"/>
  <c r="S39" i="1" s="1"/>
  <c r="P39" i="1"/>
  <c r="T39" i="1" s="1"/>
  <c r="N40" i="1"/>
  <c r="R40" i="1" s="1"/>
  <c r="O40" i="1"/>
  <c r="S40" i="1" s="1"/>
  <c r="P40" i="1"/>
  <c r="T40" i="1" s="1"/>
  <c r="N41" i="1"/>
  <c r="R41" i="1" s="1"/>
  <c r="O41" i="1"/>
  <c r="S41" i="1" s="1"/>
  <c r="P41" i="1"/>
  <c r="T41" i="1" s="1"/>
  <c r="N42" i="1"/>
  <c r="R42" i="1" s="1"/>
  <c r="O42" i="1"/>
  <c r="S42" i="1" s="1"/>
  <c r="P42" i="1"/>
  <c r="T42" i="1" s="1"/>
  <c r="N43" i="1"/>
  <c r="R43" i="1" s="1"/>
  <c r="O43" i="1"/>
  <c r="S43" i="1" s="1"/>
  <c r="P43" i="1"/>
  <c r="T43" i="1" s="1"/>
  <c r="N44" i="1"/>
  <c r="R44" i="1" s="1"/>
  <c r="O44" i="1"/>
  <c r="S44" i="1" s="1"/>
  <c r="P44" i="1"/>
  <c r="T44" i="1" s="1"/>
  <c r="N45" i="1"/>
  <c r="R45" i="1" s="1"/>
  <c r="O45" i="1"/>
  <c r="S45" i="1" s="1"/>
  <c r="P45" i="1"/>
  <c r="T45" i="1" s="1"/>
  <c r="N46" i="1"/>
  <c r="R46" i="1" s="1"/>
  <c r="O46" i="1"/>
  <c r="S46" i="1" s="1"/>
  <c r="P46" i="1"/>
  <c r="T46" i="1" s="1"/>
  <c r="N47" i="1"/>
  <c r="R47" i="1" s="1"/>
  <c r="O47" i="1"/>
  <c r="S47" i="1" s="1"/>
  <c r="P47" i="1"/>
  <c r="T47" i="1" s="1"/>
  <c r="N48" i="1"/>
  <c r="R48" i="1" s="1"/>
  <c r="O48" i="1"/>
  <c r="S48" i="1" s="1"/>
  <c r="P48" i="1"/>
  <c r="T48" i="1" s="1"/>
  <c r="N49" i="1"/>
  <c r="R49" i="1" s="1"/>
  <c r="O49" i="1"/>
  <c r="S49" i="1" s="1"/>
  <c r="P49" i="1"/>
  <c r="T49" i="1" s="1"/>
  <c r="N50" i="1"/>
  <c r="R50" i="1" s="1"/>
  <c r="O50" i="1"/>
  <c r="S50" i="1" s="1"/>
  <c r="P50" i="1"/>
  <c r="T50" i="1" s="1"/>
  <c r="N51" i="1"/>
  <c r="R51" i="1" s="1"/>
  <c r="O51" i="1"/>
  <c r="S51" i="1" s="1"/>
  <c r="P51" i="1"/>
  <c r="T51" i="1" s="1"/>
  <c r="N52" i="1"/>
  <c r="R52" i="1" s="1"/>
  <c r="O52" i="1"/>
  <c r="S52" i="1" s="1"/>
  <c r="P52" i="1"/>
  <c r="T52" i="1" s="1"/>
  <c r="N53" i="1"/>
  <c r="R53" i="1" s="1"/>
  <c r="O53" i="1"/>
  <c r="S53" i="1" s="1"/>
  <c r="P53" i="1"/>
  <c r="T53" i="1" s="1"/>
  <c r="N54" i="1"/>
  <c r="R54" i="1" s="1"/>
  <c r="O54" i="1"/>
  <c r="S54" i="1" s="1"/>
  <c r="P54" i="1"/>
  <c r="T54" i="1" s="1"/>
  <c r="N55" i="1"/>
  <c r="R55" i="1" s="1"/>
  <c r="O55" i="1"/>
  <c r="S55" i="1" s="1"/>
  <c r="P55" i="1"/>
  <c r="T55" i="1" s="1"/>
  <c r="N56" i="1"/>
  <c r="R56" i="1" s="1"/>
  <c r="O56" i="1"/>
  <c r="S56" i="1" s="1"/>
  <c r="P56" i="1"/>
  <c r="T56" i="1" s="1"/>
  <c r="N57" i="1"/>
  <c r="R57" i="1" s="1"/>
  <c r="O57" i="1"/>
  <c r="S57" i="1" s="1"/>
  <c r="P57" i="1"/>
  <c r="T57" i="1" s="1"/>
  <c r="N58" i="1"/>
  <c r="R58" i="1" s="1"/>
  <c r="O58" i="1"/>
  <c r="S58" i="1" s="1"/>
  <c r="P58" i="1"/>
  <c r="T58" i="1" s="1"/>
  <c r="N59" i="1"/>
  <c r="R59" i="1" s="1"/>
  <c r="O59" i="1"/>
  <c r="S59" i="1" s="1"/>
  <c r="P59" i="1"/>
  <c r="T59" i="1" s="1"/>
  <c r="N60" i="1"/>
  <c r="R60" i="1" s="1"/>
  <c r="O60" i="1"/>
  <c r="S60" i="1" s="1"/>
  <c r="P60" i="1"/>
  <c r="T60" i="1" s="1"/>
  <c r="N61" i="1"/>
  <c r="R61" i="1" s="1"/>
  <c r="O61" i="1"/>
  <c r="S61" i="1" s="1"/>
  <c r="P61" i="1"/>
  <c r="T61" i="1" s="1"/>
  <c r="N62" i="1"/>
  <c r="R62" i="1" s="1"/>
  <c r="O62" i="1"/>
  <c r="S62" i="1" s="1"/>
  <c r="P62" i="1"/>
  <c r="T62" i="1" s="1"/>
  <c r="N63" i="1"/>
  <c r="R63" i="1" s="1"/>
  <c r="O63" i="1"/>
  <c r="S63" i="1" s="1"/>
  <c r="P63" i="1"/>
  <c r="T63" i="1" s="1"/>
  <c r="N64" i="1"/>
  <c r="R64" i="1" s="1"/>
  <c r="O64" i="1"/>
  <c r="S64" i="1" s="1"/>
  <c r="P64" i="1"/>
  <c r="T64" i="1" s="1"/>
  <c r="N65" i="1"/>
  <c r="R65" i="1" s="1"/>
  <c r="O65" i="1"/>
  <c r="S65" i="1" s="1"/>
  <c r="P65" i="1"/>
  <c r="T65" i="1" s="1"/>
  <c r="N66" i="1"/>
  <c r="R66" i="1" s="1"/>
  <c r="O66" i="1"/>
  <c r="S66" i="1" s="1"/>
  <c r="P66" i="1"/>
  <c r="T66" i="1" s="1"/>
  <c r="N67" i="1"/>
  <c r="R67" i="1" s="1"/>
  <c r="O67" i="1"/>
  <c r="S67" i="1" s="1"/>
  <c r="P67" i="1"/>
  <c r="T67" i="1" s="1"/>
  <c r="N68" i="1"/>
  <c r="R68" i="1" s="1"/>
  <c r="O68" i="1"/>
  <c r="S68" i="1" s="1"/>
  <c r="P68" i="1"/>
  <c r="T68" i="1" s="1"/>
  <c r="N69" i="1"/>
  <c r="R69" i="1" s="1"/>
  <c r="O69" i="1"/>
  <c r="S69" i="1" s="1"/>
  <c r="P69" i="1"/>
  <c r="T69" i="1" s="1"/>
  <c r="N70" i="1"/>
  <c r="R70" i="1" s="1"/>
  <c r="O70" i="1"/>
  <c r="S70" i="1" s="1"/>
  <c r="P70" i="1"/>
  <c r="T70" i="1" s="1"/>
  <c r="N71" i="1"/>
  <c r="R71" i="1" s="1"/>
  <c r="O71" i="1"/>
  <c r="S71" i="1" s="1"/>
  <c r="P71" i="1"/>
  <c r="T71" i="1" s="1"/>
  <c r="N72" i="1"/>
  <c r="R72" i="1" s="1"/>
  <c r="O72" i="1"/>
  <c r="S72" i="1" s="1"/>
  <c r="P72" i="1"/>
  <c r="T72" i="1" s="1"/>
  <c r="N73" i="1"/>
  <c r="R73" i="1" s="1"/>
  <c r="O73" i="1"/>
  <c r="S73" i="1" s="1"/>
  <c r="P73" i="1"/>
  <c r="T73" i="1" s="1"/>
  <c r="N74" i="1"/>
  <c r="R74" i="1" s="1"/>
  <c r="O74" i="1"/>
  <c r="S74" i="1" s="1"/>
  <c r="P74" i="1"/>
  <c r="T74" i="1" s="1"/>
  <c r="N75" i="1"/>
  <c r="R75" i="1" s="1"/>
  <c r="O75" i="1"/>
  <c r="S75" i="1" s="1"/>
  <c r="P75" i="1"/>
  <c r="T75" i="1" s="1"/>
  <c r="N76" i="1"/>
  <c r="R76" i="1" s="1"/>
  <c r="O76" i="1"/>
  <c r="S76" i="1" s="1"/>
  <c r="P76" i="1"/>
  <c r="T76" i="1" s="1"/>
  <c r="N77" i="1"/>
  <c r="R77" i="1" s="1"/>
  <c r="O77" i="1"/>
  <c r="S77" i="1" s="1"/>
  <c r="P77" i="1"/>
  <c r="T77" i="1" s="1"/>
  <c r="N78" i="1"/>
  <c r="R78" i="1" s="1"/>
  <c r="O78" i="1"/>
  <c r="S78" i="1" s="1"/>
  <c r="P78" i="1"/>
  <c r="T78" i="1" s="1"/>
  <c r="N79" i="1"/>
  <c r="R79" i="1" s="1"/>
  <c r="O79" i="1"/>
  <c r="S79" i="1" s="1"/>
  <c r="P79" i="1"/>
  <c r="T79" i="1" s="1"/>
  <c r="N80" i="1"/>
  <c r="R80" i="1" s="1"/>
  <c r="O80" i="1"/>
  <c r="S80" i="1" s="1"/>
  <c r="P80" i="1"/>
  <c r="T80" i="1" s="1"/>
  <c r="N81" i="1"/>
  <c r="R81" i="1" s="1"/>
  <c r="O81" i="1"/>
  <c r="S81" i="1" s="1"/>
  <c r="P81" i="1"/>
  <c r="T81" i="1" s="1"/>
  <c r="N82" i="1"/>
  <c r="R82" i="1" s="1"/>
  <c r="O82" i="1"/>
  <c r="S82" i="1" s="1"/>
  <c r="P82" i="1"/>
  <c r="T82" i="1" s="1"/>
  <c r="N83" i="1"/>
  <c r="R83" i="1" s="1"/>
  <c r="O83" i="1"/>
  <c r="S83" i="1" s="1"/>
  <c r="P83" i="1"/>
  <c r="T83" i="1" s="1"/>
  <c r="N84" i="1"/>
  <c r="R84" i="1" s="1"/>
  <c r="O84" i="1"/>
  <c r="S84" i="1" s="1"/>
  <c r="P84" i="1"/>
  <c r="T84" i="1" s="1"/>
  <c r="N85" i="1"/>
  <c r="R85" i="1" s="1"/>
  <c r="O85" i="1"/>
  <c r="S85" i="1" s="1"/>
  <c r="P85" i="1"/>
  <c r="T85" i="1" s="1"/>
  <c r="N86" i="1"/>
  <c r="R86" i="1" s="1"/>
  <c r="O86" i="1"/>
  <c r="S86" i="1" s="1"/>
  <c r="P86" i="1"/>
  <c r="T86" i="1" s="1"/>
  <c r="N87" i="1"/>
  <c r="R87" i="1" s="1"/>
  <c r="O87" i="1"/>
  <c r="S87" i="1" s="1"/>
  <c r="P87" i="1"/>
  <c r="T87" i="1" s="1"/>
  <c r="N88" i="1"/>
  <c r="R88" i="1" s="1"/>
  <c r="O88" i="1"/>
  <c r="S88" i="1" s="1"/>
  <c r="P88" i="1"/>
  <c r="T88" i="1" s="1"/>
  <c r="N89" i="1"/>
  <c r="R89" i="1" s="1"/>
  <c r="O89" i="1"/>
  <c r="S89" i="1" s="1"/>
  <c r="P89" i="1"/>
  <c r="T89" i="1" s="1"/>
  <c r="N90" i="1"/>
  <c r="R90" i="1" s="1"/>
  <c r="O90" i="1"/>
  <c r="S90" i="1" s="1"/>
  <c r="P90" i="1"/>
  <c r="T90" i="1" s="1"/>
  <c r="N91" i="1"/>
  <c r="R91" i="1" s="1"/>
  <c r="O91" i="1"/>
  <c r="S91" i="1" s="1"/>
  <c r="P91" i="1"/>
  <c r="T91" i="1" s="1"/>
  <c r="N92" i="1"/>
  <c r="R92" i="1" s="1"/>
  <c r="O92" i="1"/>
  <c r="S92" i="1" s="1"/>
  <c r="P92" i="1"/>
  <c r="T92" i="1" s="1"/>
  <c r="N93" i="1"/>
  <c r="R93" i="1" s="1"/>
  <c r="O93" i="1"/>
  <c r="S93" i="1" s="1"/>
  <c r="P93" i="1"/>
  <c r="T93" i="1" s="1"/>
  <c r="N94" i="1"/>
  <c r="R94" i="1" s="1"/>
  <c r="O94" i="1"/>
  <c r="S94" i="1" s="1"/>
  <c r="P94" i="1"/>
  <c r="T94" i="1" s="1"/>
  <c r="N95" i="1"/>
  <c r="R95" i="1" s="1"/>
  <c r="O95" i="1"/>
  <c r="S95" i="1" s="1"/>
  <c r="P95" i="1"/>
  <c r="T95" i="1" s="1"/>
  <c r="N96" i="1"/>
  <c r="R96" i="1" s="1"/>
  <c r="O96" i="1"/>
  <c r="S96" i="1" s="1"/>
  <c r="P96" i="1"/>
  <c r="T96" i="1" s="1"/>
  <c r="N97" i="1"/>
  <c r="R97" i="1" s="1"/>
  <c r="O97" i="1"/>
  <c r="S97" i="1" s="1"/>
  <c r="P97" i="1"/>
  <c r="T97" i="1" s="1"/>
  <c r="N98" i="1"/>
  <c r="R98" i="1" s="1"/>
  <c r="O98" i="1"/>
  <c r="S98" i="1" s="1"/>
  <c r="P98" i="1"/>
  <c r="T98" i="1" s="1"/>
  <c r="N99" i="1"/>
  <c r="R99" i="1" s="1"/>
  <c r="O99" i="1"/>
  <c r="S99" i="1" s="1"/>
  <c r="P99" i="1"/>
  <c r="T99" i="1" s="1"/>
  <c r="N100" i="1"/>
  <c r="R100" i="1" s="1"/>
  <c r="O100" i="1"/>
  <c r="S100" i="1" s="1"/>
  <c r="P100" i="1"/>
  <c r="T100" i="1" s="1"/>
  <c r="N101" i="1"/>
  <c r="R101" i="1" s="1"/>
  <c r="O101" i="1"/>
  <c r="S101" i="1" s="1"/>
  <c r="P101" i="1"/>
  <c r="T101" i="1" s="1"/>
  <c r="N102" i="1"/>
  <c r="R102" i="1" s="1"/>
  <c r="O102" i="1"/>
  <c r="S102" i="1" s="1"/>
  <c r="P102" i="1"/>
  <c r="T102" i="1" s="1"/>
  <c r="N103" i="1"/>
  <c r="R103" i="1" s="1"/>
  <c r="O103" i="1"/>
  <c r="S103" i="1" s="1"/>
  <c r="P103" i="1"/>
  <c r="T103" i="1" s="1"/>
  <c r="N104" i="1"/>
  <c r="R104" i="1" s="1"/>
  <c r="O104" i="1"/>
  <c r="S104" i="1" s="1"/>
  <c r="P104" i="1"/>
  <c r="T104" i="1" s="1"/>
  <c r="N105" i="1"/>
  <c r="R105" i="1" s="1"/>
  <c r="O105" i="1"/>
  <c r="S105" i="1" s="1"/>
  <c r="P105" i="1"/>
  <c r="T105" i="1" s="1"/>
  <c r="N106" i="1"/>
  <c r="R106" i="1" s="1"/>
  <c r="O106" i="1"/>
  <c r="S106" i="1" s="1"/>
  <c r="P106" i="1"/>
  <c r="T106" i="1" s="1"/>
  <c r="N107" i="1"/>
  <c r="R107" i="1" s="1"/>
  <c r="O107" i="1"/>
  <c r="S107" i="1" s="1"/>
  <c r="P107" i="1"/>
  <c r="T107" i="1" s="1"/>
  <c r="N108" i="1"/>
  <c r="R108" i="1" s="1"/>
  <c r="O108" i="1"/>
  <c r="S108" i="1" s="1"/>
  <c r="P108" i="1"/>
  <c r="T108" i="1" s="1"/>
  <c r="N109" i="1"/>
  <c r="R109" i="1" s="1"/>
  <c r="O109" i="1"/>
  <c r="S109" i="1" s="1"/>
  <c r="P109" i="1"/>
  <c r="T109" i="1" s="1"/>
  <c r="N110" i="1"/>
  <c r="R110" i="1" s="1"/>
  <c r="O110" i="1"/>
  <c r="S110" i="1" s="1"/>
  <c r="P110" i="1"/>
  <c r="T110" i="1" s="1"/>
  <c r="N111" i="1"/>
  <c r="R111" i="1" s="1"/>
  <c r="O111" i="1"/>
  <c r="S111" i="1" s="1"/>
  <c r="P111" i="1"/>
  <c r="T111" i="1" s="1"/>
  <c r="N112" i="1"/>
  <c r="R112" i="1" s="1"/>
  <c r="O112" i="1"/>
  <c r="S112" i="1" s="1"/>
  <c r="P112" i="1"/>
  <c r="T112" i="1" s="1"/>
  <c r="N113" i="1"/>
  <c r="R113" i="1" s="1"/>
  <c r="O113" i="1"/>
  <c r="S113" i="1" s="1"/>
  <c r="P113" i="1"/>
  <c r="T113" i="1" s="1"/>
  <c r="N114" i="1"/>
  <c r="R114" i="1" s="1"/>
  <c r="O114" i="1"/>
  <c r="S114" i="1" s="1"/>
  <c r="P114" i="1"/>
  <c r="T114" i="1" s="1"/>
  <c r="N115" i="1"/>
  <c r="R115" i="1" s="1"/>
  <c r="O115" i="1"/>
  <c r="S115" i="1" s="1"/>
  <c r="P115" i="1"/>
  <c r="T115" i="1" s="1"/>
  <c r="N116" i="1"/>
  <c r="R116" i="1" s="1"/>
  <c r="O116" i="1"/>
  <c r="S116" i="1" s="1"/>
  <c r="P116" i="1"/>
  <c r="T116" i="1" s="1"/>
  <c r="N117" i="1"/>
  <c r="R117" i="1" s="1"/>
  <c r="O117" i="1"/>
  <c r="S117" i="1" s="1"/>
  <c r="P117" i="1"/>
  <c r="T117" i="1" s="1"/>
  <c r="N118" i="1"/>
  <c r="R118" i="1" s="1"/>
  <c r="O118" i="1"/>
  <c r="S118" i="1" s="1"/>
  <c r="P118" i="1"/>
  <c r="T118" i="1" s="1"/>
  <c r="N119" i="1"/>
  <c r="R119" i="1" s="1"/>
  <c r="O119" i="1"/>
  <c r="S119" i="1" s="1"/>
  <c r="P119" i="1"/>
  <c r="T119" i="1" s="1"/>
  <c r="N120" i="1"/>
  <c r="R120" i="1" s="1"/>
  <c r="O120" i="1"/>
  <c r="S120" i="1" s="1"/>
  <c r="P120" i="1"/>
  <c r="T120" i="1" s="1"/>
  <c r="N121" i="1"/>
  <c r="R121" i="1" s="1"/>
  <c r="O121" i="1"/>
  <c r="S121" i="1" s="1"/>
  <c r="P121" i="1"/>
  <c r="T121" i="1" s="1"/>
  <c r="N122" i="1"/>
  <c r="R122" i="1" s="1"/>
  <c r="O122" i="1"/>
  <c r="S122" i="1" s="1"/>
  <c r="P122" i="1"/>
  <c r="T122" i="1" s="1"/>
  <c r="N123" i="1"/>
  <c r="R123" i="1" s="1"/>
  <c r="O123" i="1"/>
  <c r="S123" i="1" s="1"/>
  <c r="P123" i="1"/>
  <c r="T123" i="1" s="1"/>
  <c r="N124" i="1"/>
  <c r="R124" i="1" s="1"/>
  <c r="O124" i="1"/>
  <c r="S124" i="1" s="1"/>
  <c r="P124" i="1"/>
  <c r="T124" i="1" s="1"/>
  <c r="N125" i="1"/>
  <c r="R125" i="1" s="1"/>
  <c r="O125" i="1"/>
  <c r="S125" i="1" s="1"/>
  <c r="P125" i="1"/>
  <c r="T125" i="1" s="1"/>
  <c r="N126" i="1"/>
  <c r="R126" i="1" s="1"/>
  <c r="O126" i="1"/>
  <c r="S126" i="1" s="1"/>
  <c r="P126" i="1"/>
  <c r="T126" i="1" s="1"/>
  <c r="O127" i="1"/>
  <c r="S127" i="1" s="1"/>
  <c r="N128" i="1"/>
  <c r="R128" i="1" s="1"/>
  <c r="O128" i="1"/>
  <c r="S128" i="1" s="1"/>
  <c r="P128" i="1"/>
  <c r="T128" i="1" s="1"/>
  <c r="N129" i="1"/>
  <c r="R129" i="1" s="1"/>
  <c r="O129" i="1"/>
  <c r="S129" i="1" s="1"/>
  <c r="P129" i="1"/>
  <c r="T129" i="1" s="1"/>
  <c r="N130" i="1"/>
  <c r="R130" i="1" s="1"/>
  <c r="O130" i="1"/>
  <c r="S130" i="1" s="1"/>
  <c r="P130" i="1"/>
  <c r="T130" i="1" s="1"/>
  <c r="N131" i="1"/>
  <c r="R131" i="1" s="1"/>
  <c r="O131" i="1"/>
  <c r="S131" i="1" s="1"/>
  <c r="P131" i="1"/>
  <c r="T131" i="1" s="1"/>
  <c r="N132" i="1"/>
  <c r="R132" i="1" s="1"/>
  <c r="O132" i="1"/>
  <c r="S132" i="1" s="1"/>
  <c r="P132" i="1"/>
  <c r="T132" i="1" s="1"/>
  <c r="N133" i="1"/>
  <c r="R133" i="1" s="1"/>
  <c r="O133" i="1"/>
  <c r="S133" i="1" s="1"/>
  <c r="P133" i="1"/>
  <c r="T133" i="1" s="1"/>
  <c r="N134" i="1"/>
  <c r="R134" i="1" s="1"/>
  <c r="O134" i="1"/>
  <c r="S134" i="1" s="1"/>
  <c r="P134" i="1"/>
  <c r="T134" i="1" s="1"/>
  <c r="N135" i="1"/>
  <c r="R135" i="1" s="1"/>
  <c r="O135" i="1"/>
  <c r="S135" i="1" s="1"/>
  <c r="P135" i="1"/>
  <c r="T135" i="1" s="1"/>
  <c r="N136" i="1"/>
  <c r="R136" i="1" s="1"/>
  <c r="O136" i="1"/>
  <c r="S136" i="1" s="1"/>
  <c r="P136" i="1"/>
  <c r="T136" i="1" s="1"/>
  <c r="N137" i="1"/>
  <c r="R137" i="1" s="1"/>
  <c r="O137" i="1"/>
  <c r="S137" i="1" s="1"/>
  <c r="P137" i="1"/>
  <c r="T137" i="1" s="1"/>
  <c r="N138" i="1"/>
  <c r="R138" i="1" s="1"/>
  <c r="O138" i="1"/>
  <c r="S138" i="1" s="1"/>
  <c r="P138" i="1"/>
  <c r="T138" i="1" s="1"/>
  <c r="N139" i="1"/>
  <c r="R139" i="1" s="1"/>
  <c r="O139" i="1"/>
  <c r="S139" i="1" s="1"/>
  <c r="P139" i="1"/>
  <c r="T139" i="1" s="1"/>
  <c r="N140" i="1"/>
  <c r="R140" i="1" s="1"/>
  <c r="O140" i="1"/>
  <c r="S140" i="1" s="1"/>
  <c r="P140" i="1"/>
  <c r="T140" i="1" s="1"/>
  <c r="N141" i="1"/>
  <c r="R141" i="1" s="1"/>
  <c r="O141" i="1"/>
  <c r="S141" i="1" s="1"/>
  <c r="P141" i="1"/>
  <c r="T141" i="1" s="1"/>
  <c r="N142" i="1"/>
  <c r="R142" i="1" s="1"/>
  <c r="O142" i="1"/>
  <c r="S142" i="1" s="1"/>
  <c r="P142" i="1"/>
  <c r="T142" i="1" s="1"/>
  <c r="N143" i="1"/>
  <c r="R143" i="1" s="1"/>
  <c r="O143" i="1"/>
  <c r="S143" i="1" s="1"/>
  <c r="P143" i="1"/>
  <c r="T143" i="1" s="1"/>
  <c r="N144" i="1"/>
  <c r="R144" i="1" s="1"/>
  <c r="O144" i="1"/>
  <c r="S144" i="1" s="1"/>
  <c r="P144" i="1"/>
  <c r="T144" i="1" s="1"/>
  <c r="N145" i="1"/>
  <c r="R145" i="1" s="1"/>
  <c r="O145" i="1"/>
  <c r="S145" i="1" s="1"/>
  <c r="P145" i="1"/>
  <c r="T145" i="1" s="1"/>
  <c r="N146" i="1"/>
  <c r="R146" i="1" s="1"/>
  <c r="O146" i="1"/>
  <c r="S146" i="1" s="1"/>
  <c r="P146" i="1"/>
  <c r="T146" i="1" s="1"/>
  <c r="N147" i="1"/>
  <c r="R147" i="1" s="1"/>
  <c r="O147" i="1"/>
  <c r="S147" i="1" s="1"/>
  <c r="P147" i="1"/>
  <c r="T147" i="1" s="1"/>
  <c r="N148" i="1"/>
  <c r="R148" i="1" s="1"/>
  <c r="O148" i="1"/>
  <c r="S148" i="1" s="1"/>
  <c r="P148" i="1"/>
  <c r="T148" i="1" s="1"/>
  <c r="N149" i="1"/>
  <c r="R149" i="1" s="1"/>
  <c r="O149" i="1"/>
  <c r="S149" i="1" s="1"/>
  <c r="P149" i="1"/>
  <c r="T149" i="1" s="1"/>
  <c r="N150" i="1"/>
  <c r="R150" i="1" s="1"/>
  <c r="O150" i="1"/>
  <c r="S150" i="1" s="1"/>
  <c r="P150" i="1"/>
  <c r="T150" i="1" s="1"/>
  <c r="N151" i="1"/>
  <c r="R151" i="1" s="1"/>
  <c r="O151" i="1"/>
  <c r="S151" i="1" s="1"/>
  <c r="P151" i="1"/>
  <c r="T151" i="1" s="1"/>
  <c r="N152" i="1"/>
  <c r="R152" i="1" s="1"/>
  <c r="O152" i="1"/>
  <c r="S152" i="1" s="1"/>
  <c r="P152" i="1"/>
  <c r="T152" i="1" s="1"/>
  <c r="N153" i="1"/>
  <c r="R153" i="1" s="1"/>
  <c r="O153" i="1"/>
  <c r="S153" i="1" s="1"/>
  <c r="P153" i="1"/>
  <c r="T153" i="1" s="1"/>
  <c r="N154" i="1"/>
  <c r="R154" i="1" s="1"/>
  <c r="O154" i="1"/>
  <c r="S154" i="1" s="1"/>
  <c r="P154" i="1"/>
  <c r="T154" i="1" s="1"/>
  <c r="N155" i="1"/>
  <c r="R155" i="1" s="1"/>
  <c r="O155" i="1"/>
  <c r="S155" i="1" s="1"/>
  <c r="P155" i="1"/>
  <c r="T155" i="1" s="1"/>
  <c r="N156" i="1"/>
  <c r="R156" i="1" s="1"/>
  <c r="O156" i="1"/>
  <c r="S156" i="1" s="1"/>
  <c r="P156" i="1"/>
  <c r="T156" i="1" s="1"/>
  <c r="N157" i="1"/>
  <c r="R157" i="1" s="1"/>
  <c r="O157" i="1"/>
  <c r="S157" i="1" s="1"/>
  <c r="P157" i="1"/>
  <c r="T157" i="1" s="1"/>
  <c r="N158" i="1"/>
  <c r="R158" i="1" s="1"/>
  <c r="O158" i="1"/>
  <c r="S158" i="1" s="1"/>
  <c r="P158" i="1"/>
  <c r="T158" i="1" s="1"/>
  <c r="N159" i="1"/>
  <c r="R159" i="1" s="1"/>
  <c r="O159" i="1"/>
  <c r="S159" i="1" s="1"/>
  <c r="P159" i="1"/>
  <c r="T159" i="1" s="1"/>
  <c r="N160" i="1"/>
  <c r="R160" i="1" s="1"/>
  <c r="O160" i="1"/>
  <c r="S160" i="1" s="1"/>
  <c r="P160" i="1"/>
  <c r="T160" i="1" s="1"/>
  <c r="N161" i="1"/>
  <c r="R161" i="1" s="1"/>
  <c r="O161" i="1"/>
  <c r="S161" i="1" s="1"/>
  <c r="P161" i="1"/>
  <c r="T161" i="1" s="1"/>
  <c r="N162" i="1"/>
  <c r="R162" i="1" s="1"/>
  <c r="O162" i="1"/>
  <c r="S162" i="1" s="1"/>
  <c r="P162" i="1"/>
  <c r="T162" i="1" s="1"/>
  <c r="N163" i="1"/>
  <c r="R163" i="1" s="1"/>
  <c r="O163" i="1"/>
  <c r="S163" i="1" s="1"/>
  <c r="P163" i="1"/>
  <c r="T163" i="1" s="1"/>
  <c r="N164" i="1"/>
  <c r="R164" i="1" s="1"/>
  <c r="O164" i="1"/>
  <c r="S164" i="1" s="1"/>
  <c r="P164" i="1"/>
  <c r="T164" i="1" s="1"/>
  <c r="N165" i="1"/>
  <c r="R165" i="1" s="1"/>
  <c r="O165" i="1"/>
  <c r="S165" i="1" s="1"/>
  <c r="P165" i="1"/>
  <c r="T165" i="1" s="1"/>
  <c r="N166" i="1"/>
  <c r="R166" i="1" s="1"/>
  <c r="O166" i="1"/>
  <c r="S166" i="1" s="1"/>
  <c r="P166" i="1"/>
  <c r="T166" i="1" s="1"/>
  <c r="N167" i="1"/>
  <c r="R167" i="1" s="1"/>
  <c r="O167" i="1"/>
  <c r="S167" i="1" s="1"/>
  <c r="P167" i="1"/>
  <c r="T167" i="1" s="1"/>
  <c r="N168" i="1"/>
  <c r="R168" i="1" s="1"/>
  <c r="O168" i="1"/>
  <c r="S168" i="1" s="1"/>
  <c r="P168" i="1"/>
  <c r="T168" i="1" s="1"/>
  <c r="N169" i="1"/>
  <c r="R169" i="1" s="1"/>
  <c r="O169" i="1"/>
  <c r="S169" i="1" s="1"/>
  <c r="P169" i="1"/>
  <c r="T169" i="1" s="1"/>
  <c r="N170" i="1"/>
  <c r="R170" i="1" s="1"/>
  <c r="O170" i="1"/>
  <c r="S170" i="1" s="1"/>
  <c r="P170" i="1"/>
  <c r="T170" i="1" s="1"/>
  <c r="N171" i="1"/>
  <c r="R171" i="1" s="1"/>
  <c r="O171" i="1"/>
  <c r="S171" i="1" s="1"/>
  <c r="P171" i="1"/>
  <c r="T171" i="1" s="1"/>
  <c r="N172" i="1"/>
  <c r="R172" i="1" s="1"/>
  <c r="O172" i="1"/>
  <c r="S172" i="1" s="1"/>
  <c r="P172" i="1"/>
  <c r="T172" i="1" s="1"/>
  <c r="N173" i="1"/>
  <c r="R173" i="1" s="1"/>
  <c r="O173" i="1"/>
  <c r="S173" i="1" s="1"/>
  <c r="P173" i="1"/>
  <c r="T173" i="1" s="1"/>
  <c r="N174" i="1"/>
  <c r="R174" i="1" s="1"/>
  <c r="O174" i="1"/>
  <c r="S174" i="1" s="1"/>
  <c r="P174" i="1"/>
  <c r="T174" i="1" s="1"/>
  <c r="N175" i="1"/>
  <c r="R175" i="1" s="1"/>
  <c r="O175" i="1"/>
  <c r="S175" i="1" s="1"/>
  <c r="P175" i="1"/>
  <c r="T175" i="1" s="1"/>
  <c r="N176" i="1"/>
  <c r="R176" i="1" s="1"/>
  <c r="O176" i="1"/>
  <c r="S176" i="1" s="1"/>
  <c r="P176" i="1"/>
  <c r="T176" i="1" s="1"/>
  <c r="N177" i="1"/>
  <c r="R177" i="1" s="1"/>
  <c r="O177" i="1"/>
  <c r="S177" i="1" s="1"/>
  <c r="P177" i="1"/>
  <c r="T177" i="1" s="1"/>
  <c r="N178" i="1"/>
  <c r="R178" i="1" s="1"/>
  <c r="O178" i="1"/>
  <c r="S178" i="1" s="1"/>
  <c r="P178" i="1"/>
  <c r="T178" i="1" s="1"/>
  <c r="N179" i="1"/>
  <c r="R179" i="1" s="1"/>
  <c r="O179" i="1"/>
  <c r="S179" i="1" s="1"/>
  <c r="P179" i="1"/>
  <c r="T179" i="1" s="1"/>
  <c r="N180" i="1"/>
  <c r="R180" i="1" s="1"/>
  <c r="O180" i="1"/>
  <c r="S180" i="1" s="1"/>
  <c r="P180" i="1"/>
  <c r="T180" i="1" s="1"/>
  <c r="N181" i="1"/>
  <c r="R181" i="1" s="1"/>
  <c r="O181" i="1"/>
  <c r="S181" i="1" s="1"/>
  <c r="P181" i="1"/>
  <c r="T181" i="1" s="1"/>
  <c r="N182" i="1"/>
  <c r="R182" i="1" s="1"/>
  <c r="O182" i="1"/>
  <c r="S182" i="1" s="1"/>
  <c r="P182" i="1"/>
  <c r="T182" i="1" s="1"/>
  <c r="N183" i="1"/>
  <c r="R183" i="1" s="1"/>
  <c r="O183" i="1"/>
  <c r="S183" i="1" s="1"/>
  <c r="P183" i="1"/>
  <c r="T183" i="1" s="1"/>
  <c r="N184" i="1"/>
  <c r="R184" i="1" s="1"/>
  <c r="O184" i="1"/>
  <c r="S184" i="1" s="1"/>
  <c r="P184" i="1"/>
  <c r="T184" i="1" s="1"/>
  <c r="N185" i="1"/>
  <c r="R185" i="1" s="1"/>
  <c r="O185" i="1"/>
  <c r="S185" i="1" s="1"/>
  <c r="P185" i="1"/>
  <c r="T185" i="1" s="1"/>
  <c r="N186" i="1"/>
  <c r="R186" i="1" s="1"/>
  <c r="O186" i="1"/>
  <c r="S186" i="1" s="1"/>
  <c r="P186" i="1"/>
  <c r="T186" i="1" s="1"/>
  <c r="N187" i="1"/>
  <c r="R187" i="1" s="1"/>
  <c r="O187" i="1"/>
  <c r="S187" i="1" s="1"/>
  <c r="P187" i="1"/>
  <c r="T187" i="1" s="1"/>
  <c r="N188" i="1"/>
  <c r="R188" i="1" s="1"/>
  <c r="O188" i="1"/>
  <c r="S188" i="1" s="1"/>
  <c r="P188" i="1"/>
  <c r="T188" i="1" s="1"/>
  <c r="N189" i="1"/>
  <c r="R189" i="1" s="1"/>
  <c r="O189" i="1"/>
  <c r="S189" i="1" s="1"/>
  <c r="P189" i="1"/>
  <c r="T189" i="1" s="1"/>
  <c r="N190" i="1"/>
  <c r="R190" i="1" s="1"/>
  <c r="O190" i="1"/>
  <c r="S190" i="1" s="1"/>
  <c r="P190" i="1"/>
  <c r="T190" i="1" s="1"/>
  <c r="N191" i="1"/>
  <c r="R191" i="1" s="1"/>
  <c r="O191" i="1"/>
  <c r="S191" i="1" s="1"/>
  <c r="P191" i="1"/>
  <c r="T191" i="1" s="1"/>
  <c r="N192" i="1"/>
  <c r="R192" i="1" s="1"/>
  <c r="O192" i="1"/>
  <c r="S192" i="1" s="1"/>
  <c r="P192" i="1"/>
  <c r="T192" i="1" s="1"/>
  <c r="N193" i="1"/>
  <c r="R193" i="1" s="1"/>
  <c r="O193" i="1"/>
  <c r="S193" i="1" s="1"/>
  <c r="P193" i="1"/>
  <c r="T193" i="1" s="1"/>
  <c r="N194" i="1"/>
  <c r="R194" i="1" s="1"/>
  <c r="O194" i="1"/>
  <c r="S194" i="1" s="1"/>
  <c r="P194" i="1"/>
  <c r="T194" i="1" s="1"/>
  <c r="N195" i="1"/>
  <c r="R195" i="1" s="1"/>
  <c r="O195" i="1"/>
  <c r="S195" i="1" s="1"/>
  <c r="P195" i="1"/>
  <c r="T195" i="1" s="1"/>
  <c r="N196" i="1"/>
  <c r="R196" i="1" s="1"/>
  <c r="O196" i="1"/>
  <c r="S196" i="1" s="1"/>
  <c r="P196" i="1"/>
  <c r="T196" i="1" s="1"/>
  <c r="N197" i="1"/>
  <c r="R197" i="1" s="1"/>
  <c r="O197" i="1"/>
  <c r="S197" i="1" s="1"/>
  <c r="P197" i="1"/>
  <c r="T197" i="1" s="1"/>
  <c r="N198" i="1"/>
  <c r="R198" i="1" s="1"/>
  <c r="O198" i="1"/>
  <c r="S198" i="1" s="1"/>
  <c r="P198" i="1"/>
  <c r="T198" i="1" s="1"/>
  <c r="N199" i="1"/>
  <c r="R199" i="1" s="1"/>
  <c r="O199" i="1"/>
  <c r="S199" i="1" s="1"/>
  <c r="P199" i="1"/>
  <c r="T199" i="1" s="1"/>
  <c r="N200" i="1"/>
  <c r="R200" i="1" s="1"/>
  <c r="O200" i="1"/>
  <c r="S200" i="1" s="1"/>
  <c r="P200" i="1"/>
  <c r="T200" i="1" s="1"/>
  <c r="N201" i="1"/>
  <c r="R201" i="1" s="1"/>
  <c r="O201" i="1"/>
  <c r="S201" i="1" s="1"/>
  <c r="P201" i="1"/>
  <c r="T201" i="1" s="1"/>
  <c r="N202" i="1"/>
  <c r="R202" i="1" s="1"/>
  <c r="O202" i="1"/>
  <c r="S202" i="1" s="1"/>
  <c r="P202" i="1"/>
  <c r="T202" i="1" s="1"/>
  <c r="N203" i="1"/>
  <c r="R203" i="1" s="1"/>
  <c r="O203" i="1"/>
  <c r="S203" i="1" s="1"/>
  <c r="P203" i="1"/>
  <c r="T203" i="1" s="1"/>
  <c r="N204" i="1"/>
  <c r="R204" i="1" s="1"/>
  <c r="O204" i="1"/>
  <c r="S204" i="1" s="1"/>
  <c r="P204" i="1"/>
  <c r="T204" i="1" s="1"/>
  <c r="N205" i="1"/>
  <c r="R205" i="1" s="1"/>
  <c r="O205" i="1"/>
  <c r="S205" i="1" s="1"/>
  <c r="P205" i="1"/>
  <c r="T205" i="1" s="1"/>
  <c r="N206" i="1"/>
  <c r="R206" i="1" s="1"/>
  <c r="O206" i="1"/>
  <c r="S206" i="1" s="1"/>
  <c r="P206" i="1"/>
  <c r="T206" i="1" s="1"/>
  <c r="N207" i="1"/>
  <c r="R207" i="1" s="1"/>
  <c r="O207" i="1"/>
  <c r="S207" i="1" s="1"/>
  <c r="P207" i="1"/>
  <c r="T207" i="1" s="1"/>
  <c r="N208" i="1"/>
  <c r="R208" i="1" s="1"/>
  <c r="O208" i="1"/>
  <c r="S208" i="1" s="1"/>
  <c r="P208" i="1"/>
  <c r="T208" i="1" s="1"/>
  <c r="N209" i="1"/>
  <c r="R209" i="1" s="1"/>
  <c r="O209" i="1"/>
  <c r="S209" i="1" s="1"/>
  <c r="P209" i="1"/>
  <c r="T209" i="1" s="1"/>
  <c r="N210" i="1"/>
  <c r="R210" i="1" s="1"/>
  <c r="O210" i="1"/>
  <c r="S210" i="1" s="1"/>
  <c r="P210" i="1"/>
  <c r="T210" i="1" s="1"/>
  <c r="N211" i="1"/>
  <c r="R211" i="1" s="1"/>
  <c r="O211" i="1"/>
  <c r="S211" i="1" s="1"/>
  <c r="P211" i="1"/>
  <c r="T211" i="1" s="1"/>
  <c r="N212" i="1"/>
  <c r="R212" i="1" s="1"/>
  <c r="O212" i="1"/>
  <c r="S212" i="1" s="1"/>
  <c r="P212" i="1"/>
  <c r="T212" i="1" s="1"/>
  <c r="N213" i="1"/>
  <c r="R213" i="1" s="1"/>
  <c r="O213" i="1"/>
  <c r="S213" i="1" s="1"/>
  <c r="P213" i="1"/>
  <c r="T213" i="1" s="1"/>
  <c r="N214" i="1"/>
  <c r="R214" i="1" s="1"/>
  <c r="O214" i="1"/>
  <c r="S214" i="1" s="1"/>
  <c r="P214" i="1"/>
  <c r="T214" i="1" s="1"/>
  <c r="N215" i="1"/>
  <c r="R215" i="1" s="1"/>
  <c r="O215" i="1"/>
  <c r="S215" i="1" s="1"/>
  <c r="P215" i="1"/>
  <c r="T215" i="1" s="1"/>
  <c r="N216" i="1"/>
  <c r="R216" i="1" s="1"/>
  <c r="O216" i="1"/>
  <c r="S216" i="1" s="1"/>
  <c r="P216" i="1"/>
  <c r="T216" i="1" s="1"/>
  <c r="N217" i="1"/>
  <c r="R217" i="1" s="1"/>
  <c r="O217" i="1"/>
  <c r="S217" i="1" s="1"/>
  <c r="P217" i="1"/>
  <c r="T217" i="1" s="1"/>
  <c r="N218" i="1"/>
  <c r="R218" i="1" s="1"/>
  <c r="O218" i="1"/>
  <c r="S218" i="1" s="1"/>
  <c r="P218" i="1"/>
  <c r="T218" i="1" s="1"/>
  <c r="N219" i="1"/>
  <c r="R219" i="1" s="1"/>
  <c r="O219" i="1"/>
  <c r="S219" i="1" s="1"/>
  <c r="P219" i="1"/>
  <c r="T219" i="1" s="1"/>
  <c r="N220" i="1"/>
  <c r="R220" i="1" s="1"/>
  <c r="O220" i="1"/>
  <c r="S220" i="1" s="1"/>
  <c r="P220" i="1"/>
  <c r="T220" i="1" s="1"/>
  <c r="N221" i="1"/>
  <c r="R221" i="1" s="1"/>
  <c r="O221" i="1"/>
  <c r="S221" i="1" s="1"/>
  <c r="P221" i="1"/>
  <c r="T221" i="1" s="1"/>
  <c r="N222" i="1"/>
  <c r="R222" i="1" s="1"/>
  <c r="O222" i="1"/>
  <c r="S222" i="1" s="1"/>
  <c r="P222" i="1"/>
  <c r="T222" i="1" s="1"/>
  <c r="N223" i="1"/>
  <c r="R223" i="1" s="1"/>
  <c r="O223" i="1"/>
  <c r="S223" i="1" s="1"/>
  <c r="P223" i="1"/>
  <c r="T223" i="1" s="1"/>
  <c r="N224" i="1"/>
  <c r="R224" i="1" s="1"/>
  <c r="O224" i="1"/>
  <c r="S224" i="1" s="1"/>
  <c r="P224" i="1"/>
  <c r="T224" i="1" s="1"/>
  <c r="N225" i="1"/>
  <c r="R225" i="1" s="1"/>
  <c r="O225" i="1"/>
  <c r="S225" i="1" s="1"/>
  <c r="P225" i="1"/>
  <c r="T225" i="1" s="1"/>
  <c r="N226" i="1"/>
  <c r="R226" i="1" s="1"/>
  <c r="O226" i="1"/>
  <c r="S226" i="1" s="1"/>
  <c r="P226" i="1"/>
  <c r="T226" i="1" s="1"/>
  <c r="N227" i="1"/>
  <c r="R227" i="1" s="1"/>
  <c r="O227" i="1"/>
  <c r="S227" i="1" s="1"/>
  <c r="P227" i="1"/>
  <c r="T227" i="1" s="1"/>
  <c r="N228" i="1"/>
  <c r="R228" i="1" s="1"/>
  <c r="O228" i="1"/>
  <c r="S228" i="1" s="1"/>
  <c r="P228" i="1"/>
  <c r="T228" i="1" s="1"/>
  <c r="N229" i="1"/>
  <c r="R229" i="1" s="1"/>
  <c r="O229" i="1"/>
  <c r="S229" i="1" s="1"/>
  <c r="P229" i="1"/>
  <c r="T229" i="1" s="1"/>
  <c r="N230" i="1"/>
  <c r="R230" i="1" s="1"/>
  <c r="O230" i="1"/>
  <c r="S230" i="1" s="1"/>
  <c r="P230" i="1"/>
  <c r="T230" i="1" s="1"/>
  <c r="N231" i="1"/>
  <c r="R231" i="1" s="1"/>
  <c r="O231" i="1"/>
  <c r="S231" i="1" s="1"/>
  <c r="P231" i="1"/>
  <c r="T231" i="1" s="1"/>
  <c r="N232" i="1"/>
  <c r="R232" i="1" s="1"/>
  <c r="O232" i="1"/>
  <c r="S232" i="1" s="1"/>
  <c r="P232" i="1"/>
  <c r="T232" i="1" s="1"/>
  <c r="N233" i="1"/>
  <c r="R233" i="1" s="1"/>
  <c r="O233" i="1"/>
  <c r="S233" i="1" s="1"/>
  <c r="P233" i="1"/>
  <c r="T233" i="1" s="1"/>
  <c r="N234" i="1"/>
  <c r="R234" i="1" s="1"/>
  <c r="O234" i="1"/>
  <c r="S234" i="1" s="1"/>
  <c r="P234" i="1"/>
  <c r="T234" i="1" s="1"/>
  <c r="N235" i="1"/>
  <c r="R235" i="1" s="1"/>
  <c r="O235" i="1"/>
  <c r="S235" i="1" s="1"/>
  <c r="P235" i="1"/>
  <c r="T235" i="1" s="1"/>
  <c r="N236" i="1"/>
  <c r="R236" i="1" s="1"/>
  <c r="O236" i="1"/>
  <c r="S236" i="1" s="1"/>
  <c r="P236" i="1"/>
  <c r="T236" i="1" s="1"/>
  <c r="N237" i="1"/>
  <c r="R237" i="1" s="1"/>
  <c r="O237" i="1"/>
  <c r="S237" i="1" s="1"/>
  <c r="P237" i="1"/>
  <c r="T237" i="1" s="1"/>
  <c r="N238" i="1"/>
  <c r="R238" i="1" s="1"/>
  <c r="O238" i="1"/>
  <c r="S238" i="1" s="1"/>
  <c r="P238" i="1"/>
  <c r="T238" i="1" s="1"/>
  <c r="N239" i="1"/>
  <c r="R239" i="1" s="1"/>
  <c r="O239" i="1"/>
  <c r="S239" i="1" s="1"/>
  <c r="P239" i="1"/>
  <c r="T239" i="1" s="1"/>
  <c r="N240" i="1"/>
  <c r="R240" i="1" s="1"/>
  <c r="O240" i="1"/>
  <c r="S240" i="1" s="1"/>
  <c r="P240" i="1"/>
  <c r="T240" i="1" s="1"/>
  <c r="N241" i="1"/>
  <c r="R241" i="1" s="1"/>
  <c r="O241" i="1"/>
  <c r="S241" i="1" s="1"/>
  <c r="P241" i="1"/>
  <c r="T241" i="1" s="1"/>
  <c r="N242" i="1"/>
  <c r="R242" i="1" s="1"/>
  <c r="O242" i="1"/>
  <c r="S242" i="1" s="1"/>
  <c r="P242" i="1"/>
  <c r="T242" i="1" s="1"/>
  <c r="N243" i="1"/>
  <c r="R243" i="1" s="1"/>
  <c r="O243" i="1"/>
  <c r="S243" i="1" s="1"/>
  <c r="P243" i="1"/>
  <c r="T243" i="1" s="1"/>
  <c r="N244" i="1"/>
  <c r="R244" i="1" s="1"/>
  <c r="O244" i="1"/>
  <c r="S244" i="1" s="1"/>
  <c r="P244" i="1"/>
  <c r="T244" i="1" s="1"/>
  <c r="N245" i="1"/>
  <c r="R245" i="1" s="1"/>
  <c r="O245" i="1"/>
  <c r="S245" i="1" s="1"/>
  <c r="P245" i="1"/>
  <c r="T245" i="1" s="1"/>
  <c r="N246" i="1"/>
  <c r="R246" i="1" s="1"/>
  <c r="O246" i="1"/>
  <c r="S246" i="1" s="1"/>
  <c r="P246" i="1"/>
  <c r="T246" i="1" s="1"/>
  <c r="N247" i="1"/>
  <c r="R247" i="1" s="1"/>
  <c r="O247" i="1"/>
  <c r="S247" i="1" s="1"/>
  <c r="P247" i="1"/>
  <c r="T247" i="1" s="1"/>
  <c r="N248" i="1"/>
  <c r="R248" i="1" s="1"/>
  <c r="O248" i="1"/>
  <c r="S248" i="1" s="1"/>
  <c r="P248" i="1"/>
  <c r="T248" i="1" s="1"/>
  <c r="N249" i="1"/>
  <c r="R249" i="1" s="1"/>
  <c r="O249" i="1"/>
  <c r="S249" i="1" s="1"/>
  <c r="P249" i="1"/>
  <c r="T249" i="1" s="1"/>
  <c r="N250" i="1"/>
  <c r="R250" i="1" s="1"/>
  <c r="O250" i="1"/>
  <c r="S250" i="1" s="1"/>
  <c r="P250" i="1"/>
  <c r="T250" i="1" s="1"/>
  <c r="N251" i="1"/>
  <c r="R251" i="1" s="1"/>
  <c r="O251" i="1"/>
  <c r="S251" i="1" s="1"/>
  <c r="P251" i="1"/>
  <c r="T251" i="1" s="1"/>
  <c r="N252" i="1"/>
  <c r="R252" i="1" s="1"/>
  <c r="O252" i="1"/>
  <c r="S252" i="1" s="1"/>
  <c r="P252" i="1"/>
  <c r="T252" i="1" s="1"/>
  <c r="N253" i="1"/>
  <c r="R253" i="1" s="1"/>
  <c r="O253" i="1"/>
  <c r="S253" i="1" s="1"/>
  <c r="P253" i="1"/>
  <c r="T253" i="1" s="1"/>
  <c r="N254" i="1"/>
  <c r="R254" i="1" s="1"/>
  <c r="O254" i="1"/>
  <c r="S254" i="1" s="1"/>
  <c r="P254" i="1"/>
  <c r="T254" i="1" s="1"/>
  <c r="N255" i="1"/>
  <c r="R255" i="1" s="1"/>
  <c r="O255" i="1"/>
  <c r="S255" i="1" s="1"/>
  <c r="P255" i="1"/>
  <c r="T255" i="1" s="1"/>
  <c r="N256" i="1"/>
  <c r="R256" i="1" s="1"/>
  <c r="O256" i="1"/>
  <c r="S256" i="1" s="1"/>
  <c r="P256" i="1"/>
  <c r="T256" i="1" s="1"/>
  <c r="N257" i="1"/>
  <c r="R257" i="1" s="1"/>
  <c r="O257" i="1"/>
  <c r="S257" i="1" s="1"/>
  <c r="P257" i="1"/>
  <c r="T257" i="1" s="1"/>
  <c r="N258" i="1"/>
  <c r="R258" i="1" s="1"/>
  <c r="O258" i="1"/>
  <c r="S258" i="1" s="1"/>
  <c r="P258" i="1"/>
  <c r="T258" i="1" s="1"/>
  <c r="N259" i="1"/>
  <c r="R259" i="1" s="1"/>
  <c r="O259" i="1"/>
  <c r="S259" i="1" s="1"/>
  <c r="P259" i="1"/>
  <c r="T259" i="1" s="1"/>
  <c r="N260" i="1"/>
  <c r="R260" i="1" s="1"/>
  <c r="O260" i="1"/>
  <c r="S260" i="1" s="1"/>
  <c r="P260" i="1"/>
  <c r="T260" i="1" s="1"/>
  <c r="N261" i="1"/>
  <c r="R261" i="1" s="1"/>
  <c r="O261" i="1"/>
  <c r="S261" i="1" s="1"/>
  <c r="P261" i="1"/>
  <c r="T261" i="1" s="1"/>
  <c r="N262" i="1"/>
  <c r="R262" i="1" s="1"/>
  <c r="O262" i="1"/>
  <c r="S262" i="1" s="1"/>
  <c r="P262" i="1"/>
  <c r="T262" i="1" s="1"/>
  <c r="N263" i="1"/>
  <c r="R263" i="1" s="1"/>
  <c r="O263" i="1"/>
  <c r="S263" i="1" s="1"/>
  <c r="P263" i="1"/>
  <c r="T263" i="1" s="1"/>
  <c r="N264" i="1"/>
  <c r="R264" i="1" s="1"/>
  <c r="O264" i="1"/>
  <c r="S264" i="1" s="1"/>
  <c r="P264" i="1"/>
  <c r="T264" i="1" s="1"/>
  <c r="N265" i="1"/>
  <c r="R265" i="1" s="1"/>
  <c r="O265" i="1"/>
  <c r="S265" i="1" s="1"/>
  <c r="P265" i="1"/>
  <c r="T265" i="1" s="1"/>
  <c r="N266" i="1"/>
  <c r="R266" i="1" s="1"/>
  <c r="O266" i="1"/>
  <c r="S266" i="1" s="1"/>
  <c r="P266" i="1"/>
  <c r="T266" i="1" s="1"/>
  <c r="N267" i="1"/>
  <c r="R267" i="1" s="1"/>
  <c r="O267" i="1"/>
  <c r="S267" i="1" s="1"/>
  <c r="P267" i="1"/>
  <c r="T267" i="1" s="1"/>
  <c r="N268" i="1"/>
  <c r="R268" i="1" s="1"/>
  <c r="O268" i="1"/>
  <c r="S268" i="1" s="1"/>
  <c r="P268" i="1"/>
  <c r="T268" i="1" s="1"/>
  <c r="N269" i="1"/>
  <c r="R269" i="1" s="1"/>
  <c r="O269" i="1"/>
  <c r="S269" i="1" s="1"/>
  <c r="P269" i="1"/>
  <c r="T269" i="1" s="1"/>
  <c r="N270" i="1"/>
  <c r="R270" i="1" s="1"/>
  <c r="O270" i="1"/>
  <c r="S270" i="1" s="1"/>
  <c r="P270" i="1"/>
  <c r="T270" i="1" s="1"/>
  <c r="N271" i="1"/>
  <c r="R271" i="1" s="1"/>
  <c r="O271" i="1"/>
  <c r="S271" i="1" s="1"/>
  <c r="P271" i="1"/>
  <c r="T271" i="1" s="1"/>
  <c r="N272" i="1"/>
  <c r="R272" i="1" s="1"/>
  <c r="O272" i="1"/>
  <c r="S272" i="1" s="1"/>
  <c r="P272" i="1"/>
  <c r="T272" i="1" s="1"/>
  <c r="N273" i="1"/>
  <c r="R273" i="1" s="1"/>
  <c r="O273" i="1"/>
  <c r="S273" i="1" s="1"/>
  <c r="P273" i="1"/>
  <c r="T273" i="1" s="1"/>
  <c r="N274" i="1"/>
  <c r="R274" i="1" s="1"/>
  <c r="O274" i="1"/>
  <c r="S274" i="1" s="1"/>
  <c r="P274" i="1"/>
  <c r="T274" i="1" s="1"/>
  <c r="N275" i="1"/>
  <c r="R275" i="1" s="1"/>
  <c r="O275" i="1"/>
  <c r="S275" i="1" s="1"/>
  <c r="P275" i="1"/>
  <c r="T275" i="1" s="1"/>
  <c r="N276" i="1"/>
  <c r="R276" i="1" s="1"/>
  <c r="O276" i="1"/>
  <c r="S276" i="1" s="1"/>
  <c r="P276" i="1"/>
  <c r="T276" i="1" s="1"/>
  <c r="N277" i="1"/>
  <c r="R277" i="1" s="1"/>
  <c r="O277" i="1"/>
  <c r="S277" i="1" s="1"/>
  <c r="P277" i="1"/>
  <c r="T277" i="1" s="1"/>
  <c r="N278" i="1"/>
  <c r="R278" i="1" s="1"/>
  <c r="O278" i="1"/>
  <c r="S278" i="1" s="1"/>
  <c r="P278" i="1"/>
  <c r="T278" i="1" s="1"/>
  <c r="N279" i="1"/>
  <c r="R279" i="1" s="1"/>
  <c r="O279" i="1"/>
  <c r="S279" i="1" s="1"/>
  <c r="P279" i="1"/>
  <c r="T279" i="1" s="1"/>
  <c r="P2" i="1"/>
  <c r="T2" i="1" s="1"/>
  <c r="O2" i="1"/>
  <c r="S2" i="1" s="1"/>
  <c r="N2" i="1"/>
  <c r="R2" i="1" s="1"/>
  <c r="J3" i="1"/>
  <c r="K3" i="1"/>
  <c r="L3" i="1"/>
  <c r="J4" i="1"/>
  <c r="K4" i="1"/>
  <c r="L4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J59" i="1"/>
  <c r="K59" i="1"/>
  <c r="L59" i="1"/>
  <c r="J60" i="1"/>
  <c r="K60" i="1"/>
  <c r="L60" i="1"/>
  <c r="J61" i="1"/>
  <c r="K61" i="1"/>
  <c r="L61" i="1"/>
  <c r="J62" i="1"/>
  <c r="K62" i="1"/>
  <c r="L62" i="1"/>
  <c r="J63" i="1"/>
  <c r="K63" i="1"/>
  <c r="L63" i="1"/>
  <c r="J64" i="1"/>
  <c r="K64" i="1"/>
  <c r="L64" i="1"/>
  <c r="J65" i="1"/>
  <c r="K65" i="1"/>
  <c r="L65" i="1"/>
  <c r="J66" i="1"/>
  <c r="K66" i="1"/>
  <c r="L66" i="1"/>
  <c r="J67" i="1"/>
  <c r="K67" i="1"/>
  <c r="L67" i="1"/>
  <c r="J68" i="1"/>
  <c r="K68" i="1"/>
  <c r="L68" i="1"/>
  <c r="J69" i="1"/>
  <c r="K69" i="1"/>
  <c r="L69" i="1"/>
  <c r="J70" i="1"/>
  <c r="K70" i="1"/>
  <c r="L70" i="1"/>
  <c r="J71" i="1"/>
  <c r="K71" i="1"/>
  <c r="L71" i="1"/>
  <c r="J72" i="1"/>
  <c r="K72" i="1"/>
  <c r="L72" i="1"/>
  <c r="J73" i="1"/>
  <c r="K73" i="1"/>
  <c r="L73" i="1"/>
  <c r="J74" i="1"/>
  <c r="K74" i="1"/>
  <c r="L74" i="1"/>
  <c r="J75" i="1"/>
  <c r="K75" i="1"/>
  <c r="L75" i="1"/>
  <c r="J76" i="1"/>
  <c r="K76" i="1"/>
  <c r="L76" i="1"/>
  <c r="J77" i="1"/>
  <c r="K77" i="1"/>
  <c r="L77" i="1"/>
  <c r="J78" i="1"/>
  <c r="K78" i="1"/>
  <c r="L78" i="1"/>
  <c r="J79" i="1"/>
  <c r="K79" i="1"/>
  <c r="L79" i="1"/>
  <c r="J80" i="1"/>
  <c r="K80" i="1"/>
  <c r="L80" i="1"/>
  <c r="J81" i="1"/>
  <c r="K81" i="1"/>
  <c r="L81" i="1"/>
  <c r="J82" i="1"/>
  <c r="K82" i="1"/>
  <c r="L82" i="1"/>
  <c r="J83" i="1"/>
  <c r="K83" i="1"/>
  <c r="L83" i="1"/>
  <c r="J84" i="1"/>
  <c r="K84" i="1"/>
  <c r="L84" i="1"/>
  <c r="J85" i="1"/>
  <c r="K85" i="1"/>
  <c r="L85" i="1"/>
  <c r="J86" i="1"/>
  <c r="K86" i="1"/>
  <c r="L86" i="1"/>
  <c r="J87" i="1"/>
  <c r="K87" i="1"/>
  <c r="L87" i="1"/>
  <c r="J88" i="1"/>
  <c r="K88" i="1"/>
  <c r="L88" i="1"/>
  <c r="J89" i="1"/>
  <c r="K89" i="1"/>
  <c r="L89" i="1"/>
  <c r="J90" i="1"/>
  <c r="K90" i="1"/>
  <c r="L90" i="1"/>
  <c r="J91" i="1"/>
  <c r="K91" i="1"/>
  <c r="L91" i="1"/>
  <c r="J92" i="1"/>
  <c r="K92" i="1"/>
  <c r="L92" i="1"/>
  <c r="J93" i="1"/>
  <c r="K93" i="1"/>
  <c r="L93" i="1"/>
  <c r="J94" i="1"/>
  <c r="K94" i="1"/>
  <c r="L94" i="1"/>
  <c r="J95" i="1"/>
  <c r="K95" i="1"/>
  <c r="L95" i="1"/>
  <c r="J96" i="1"/>
  <c r="K96" i="1"/>
  <c r="L96" i="1"/>
  <c r="J97" i="1"/>
  <c r="K97" i="1"/>
  <c r="L97" i="1"/>
  <c r="J98" i="1"/>
  <c r="K98" i="1"/>
  <c r="L98" i="1"/>
  <c r="J99" i="1"/>
  <c r="K99" i="1"/>
  <c r="L99" i="1"/>
  <c r="J100" i="1"/>
  <c r="K100" i="1"/>
  <c r="L100" i="1"/>
  <c r="J101" i="1"/>
  <c r="K101" i="1"/>
  <c r="L101" i="1"/>
  <c r="J102" i="1"/>
  <c r="K102" i="1"/>
  <c r="L102" i="1"/>
  <c r="J103" i="1"/>
  <c r="K103" i="1"/>
  <c r="L103" i="1"/>
  <c r="J104" i="1"/>
  <c r="K104" i="1"/>
  <c r="L104" i="1"/>
  <c r="J105" i="1"/>
  <c r="K105" i="1"/>
  <c r="L105" i="1"/>
  <c r="J106" i="1"/>
  <c r="K106" i="1"/>
  <c r="L106" i="1"/>
  <c r="J107" i="1"/>
  <c r="K107" i="1"/>
  <c r="L107" i="1"/>
  <c r="J108" i="1"/>
  <c r="K108" i="1"/>
  <c r="L108" i="1"/>
  <c r="J109" i="1"/>
  <c r="K109" i="1"/>
  <c r="L109" i="1"/>
  <c r="J110" i="1"/>
  <c r="K110" i="1"/>
  <c r="L110" i="1"/>
  <c r="J111" i="1"/>
  <c r="K111" i="1"/>
  <c r="L111" i="1"/>
  <c r="J112" i="1"/>
  <c r="K112" i="1"/>
  <c r="L112" i="1"/>
  <c r="J113" i="1"/>
  <c r="K113" i="1"/>
  <c r="L113" i="1"/>
  <c r="J114" i="1"/>
  <c r="K114" i="1"/>
  <c r="L114" i="1"/>
  <c r="J115" i="1"/>
  <c r="K115" i="1"/>
  <c r="L115" i="1"/>
  <c r="J116" i="1"/>
  <c r="K116" i="1"/>
  <c r="L116" i="1"/>
  <c r="J117" i="1"/>
  <c r="K117" i="1"/>
  <c r="L117" i="1"/>
  <c r="J118" i="1"/>
  <c r="K118" i="1"/>
  <c r="L118" i="1"/>
  <c r="J119" i="1"/>
  <c r="K119" i="1"/>
  <c r="L119" i="1"/>
  <c r="J120" i="1"/>
  <c r="K120" i="1"/>
  <c r="L120" i="1"/>
  <c r="J121" i="1"/>
  <c r="K121" i="1"/>
  <c r="L121" i="1"/>
  <c r="J122" i="1"/>
  <c r="K122" i="1"/>
  <c r="L122" i="1"/>
  <c r="J123" i="1"/>
  <c r="K123" i="1"/>
  <c r="L123" i="1"/>
  <c r="J124" i="1"/>
  <c r="K124" i="1"/>
  <c r="L124" i="1"/>
  <c r="J125" i="1"/>
  <c r="K125" i="1"/>
  <c r="L125" i="1"/>
  <c r="J126" i="1"/>
  <c r="K126" i="1"/>
  <c r="L126" i="1"/>
  <c r="J127" i="1"/>
  <c r="K127" i="1"/>
  <c r="L127" i="1"/>
  <c r="J128" i="1"/>
  <c r="K128" i="1"/>
  <c r="L128" i="1"/>
  <c r="J129" i="1"/>
  <c r="K129" i="1"/>
  <c r="L129" i="1"/>
  <c r="J130" i="1"/>
  <c r="K130" i="1"/>
  <c r="L130" i="1"/>
  <c r="J131" i="1"/>
  <c r="K131" i="1"/>
  <c r="L131" i="1"/>
  <c r="J132" i="1"/>
  <c r="K132" i="1"/>
  <c r="L132" i="1"/>
  <c r="J133" i="1"/>
  <c r="K133" i="1"/>
  <c r="L133" i="1"/>
  <c r="J134" i="1"/>
  <c r="K134" i="1"/>
  <c r="L134" i="1"/>
  <c r="J135" i="1"/>
  <c r="K135" i="1"/>
  <c r="L135" i="1"/>
  <c r="J136" i="1"/>
  <c r="K136" i="1"/>
  <c r="L136" i="1"/>
  <c r="J137" i="1"/>
  <c r="K137" i="1"/>
  <c r="L137" i="1"/>
  <c r="J138" i="1"/>
  <c r="K138" i="1"/>
  <c r="L138" i="1"/>
  <c r="J139" i="1"/>
  <c r="K139" i="1"/>
  <c r="L139" i="1"/>
  <c r="J140" i="1"/>
  <c r="K140" i="1"/>
  <c r="L140" i="1"/>
  <c r="J141" i="1"/>
  <c r="K141" i="1"/>
  <c r="L141" i="1"/>
  <c r="J142" i="1"/>
  <c r="K142" i="1"/>
  <c r="L142" i="1"/>
  <c r="J143" i="1"/>
  <c r="K143" i="1"/>
  <c r="L143" i="1"/>
  <c r="J144" i="1"/>
  <c r="K144" i="1"/>
  <c r="L144" i="1"/>
  <c r="J145" i="1"/>
  <c r="K145" i="1"/>
  <c r="L145" i="1"/>
  <c r="J146" i="1"/>
  <c r="K146" i="1"/>
  <c r="L146" i="1"/>
  <c r="J147" i="1"/>
  <c r="K147" i="1"/>
  <c r="L147" i="1"/>
  <c r="J148" i="1"/>
  <c r="K148" i="1"/>
  <c r="L148" i="1"/>
  <c r="J149" i="1"/>
  <c r="K149" i="1"/>
  <c r="L149" i="1"/>
  <c r="J150" i="1"/>
  <c r="K150" i="1"/>
  <c r="L150" i="1"/>
  <c r="J151" i="1"/>
  <c r="K151" i="1"/>
  <c r="L151" i="1"/>
  <c r="J152" i="1"/>
  <c r="K152" i="1"/>
  <c r="L152" i="1"/>
  <c r="J153" i="1"/>
  <c r="K153" i="1"/>
  <c r="L153" i="1"/>
  <c r="J154" i="1"/>
  <c r="K154" i="1"/>
  <c r="L154" i="1"/>
  <c r="J155" i="1"/>
  <c r="K155" i="1"/>
  <c r="L155" i="1"/>
  <c r="J156" i="1"/>
  <c r="K156" i="1"/>
  <c r="L156" i="1"/>
  <c r="J157" i="1"/>
  <c r="K157" i="1"/>
  <c r="L157" i="1"/>
  <c r="J158" i="1"/>
  <c r="K158" i="1"/>
  <c r="L158" i="1"/>
  <c r="J159" i="1"/>
  <c r="K159" i="1"/>
  <c r="L159" i="1"/>
  <c r="J160" i="1"/>
  <c r="K160" i="1"/>
  <c r="L160" i="1"/>
  <c r="J161" i="1"/>
  <c r="K161" i="1"/>
  <c r="L161" i="1"/>
  <c r="J162" i="1"/>
  <c r="K162" i="1"/>
  <c r="L162" i="1"/>
  <c r="J163" i="1"/>
  <c r="K163" i="1"/>
  <c r="L163" i="1"/>
  <c r="J164" i="1"/>
  <c r="K164" i="1"/>
  <c r="L164" i="1"/>
  <c r="J165" i="1"/>
  <c r="K165" i="1"/>
  <c r="L165" i="1"/>
  <c r="J166" i="1"/>
  <c r="K166" i="1"/>
  <c r="L166" i="1"/>
  <c r="J167" i="1"/>
  <c r="K167" i="1"/>
  <c r="L167" i="1"/>
  <c r="J168" i="1"/>
  <c r="K168" i="1"/>
  <c r="L168" i="1"/>
  <c r="J169" i="1"/>
  <c r="K169" i="1"/>
  <c r="L169" i="1"/>
  <c r="J170" i="1"/>
  <c r="K170" i="1"/>
  <c r="L170" i="1"/>
  <c r="J171" i="1"/>
  <c r="K171" i="1"/>
  <c r="L171" i="1"/>
  <c r="J172" i="1"/>
  <c r="K172" i="1"/>
  <c r="L172" i="1"/>
  <c r="J173" i="1"/>
  <c r="K173" i="1"/>
  <c r="L173" i="1"/>
  <c r="J174" i="1"/>
  <c r="K174" i="1"/>
  <c r="L174" i="1"/>
  <c r="J175" i="1"/>
  <c r="K175" i="1"/>
  <c r="L175" i="1"/>
  <c r="J176" i="1"/>
  <c r="K176" i="1"/>
  <c r="L176" i="1"/>
  <c r="J177" i="1"/>
  <c r="K177" i="1"/>
  <c r="L177" i="1"/>
  <c r="J178" i="1"/>
  <c r="K178" i="1"/>
  <c r="L178" i="1"/>
  <c r="J179" i="1"/>
  <c r="K179" i="1"/>
  <c r="L179" i="1"/>
  <c r="J180" i="1"/>
  <c r="K180" i="1"/>
  <c r="L180" i="1"/>
  <c r="J181" i="1"/>
  <c r="K181" i="1"/>
  <c r="L181" i="1"/>
  <c r="J182" i="1"/>
  <c r="K182" i="1"/>
  <c r="L182" i="1"/>
  <c r="J183" i="1"/>
  <c r="K183" i="1"/>
  <c r="L183" i="1"/>
  <c r="J184" i="1"/>
  <c r="K184" i="1"/>
  <c r="L184" i="1"/>
  <c r="J185" i="1"/>
  <c r="K185" i="1"/>
  <c r="L185" i="1"/>
  <c r="J186" i="1"/>
  <c r="K186" i="1"/>
  <c r="L186" i="1"/>
  <c r="J187" i="1"/>
  <c r="K187" i="1"/>
  <c r="L187" i="1"/>
  <c r="J188" i="1"/>
  <c r="K188" i="1"/>
  <c r="L188" i="1"/>
  <c r="J189" i="1"/>
  <c r="K189" i="1"/>
  <c r="L189" i="1"/>
  <c r="J190" i="1"/>
  <c r="K190" i="1"/>
  <c r="L190" i="1"/>
  <c r="J191" i="1"/>
  <c r="K191" i="1"/>
  <c r="L191" i="1"/>
  <c r="J192" i="1"/>
  <c r="K192" i="1"/>
  <c r="L192" i="1"/>
  <c r="J193" i="1"/>
  <c r="K193" i="1"/>
  <c r="L193" i="1"/>
  <c r="J194" i="1"/>
  <c r="K194" i="1"/>
  <c r="L194" i="1"/>
  <c r="J195" i="1"/>
  <c r="K195" i="1"/>
  <c r="L195" i="1"/>
  <c r="J196" i="1"/>
  <c r="K196" i="1"/>
  <c r="L196" i="1"/>
  <c r="J197" i="1"/>
  <c r="K197" i="1"/>
  <c r="L197" i="1"/>
  <c r="J198" i="1"/>
  <c r="K198" i="1"/>
  <c r="L198" i="1"/>
  <c r="J199" i="1"/>
  <c r="K199" i="1"/>
  <c r="L199" i="1"/>
  <c r="J200" i="1"/>
  <c r="K200" i="1"/>
  <c r="L200" i="1"/>
  <c r="J201" i="1"/>
  <c r="K201" i="1"/>
  <c r="L201" i="1"/>
  <c r="J202" i="1"/>
  <c r="K202" i="1"/>
  <c r="L202" i="1"/>
  <c r="J203" i="1"/>
  <c r="K203" i="1"/>
  <c r="L203" i="1"/>
  <c r="J204" i="1"/>
  <c r="K204" i="1"/>
  <c r="L204" i="1"/>
  <c r="J205" i="1"/>
  <c r="K205" i="1"/>
  <c r="L205" i="1"/>
  <c r="J206" i="1"/>
  <c r="K206" i="1"/>
  <c r="L206" i="1"/>
  <c r="J207" i="1"/>
  <c r="K207" i="1"/>
  <c r="L207" i="1"/>
  <c r="J208" i="1"/>
  <c r="K208" i="1"/>
  <c r="L208" i="1"/>
  <c r="J209" i="1"/>
  <c r="K209" i="1"/>
  <c r="L209" i="1"/>
  <c r="J210" i="1"/>
  <c r="K210" i="1"/>
  <c r="L210" i="1"/>
  <c r="J211" i="1"/>
  <c r="K211" i="1"/>
  <c r="L211" i="1"/>
  <c r="J212" i="1"/>
  <c r="K212" i="1"/>
  <c r="L212" i="1"/>
  <c r="J213" i="1"/>
  <c r="K213" i="1"/>
  <c r="L213" i="1"/>
  <c r="J214" i="1"/>
  <c r="K214" i="1"/>
  <c r="L214" i="1"/>
  <c r="J215" i="1"/>
  <c r="K215" i="1"/>
  <c r="L215" i="1"/>
  <c r="J216" i="1"/>
  <c r="K216" i="1"/>
  <c r="L216" i="1"/>
  <c r="J217" i="1"/>
  <c r="K217" i="1"/>
  <c r="L217" i="1"/>
  <c r="J218" i="1"/>
  <c r="K218" i="1"/>
  <c r="L218" i="1"/>
  <c r="J219" i="1"/>
  <c r="K219" i="1"/>
  <c r="L219" i="1"/>
  <c r="J220" i="1"/>
  <c r="K220" i="1"/>
  <c r="L220" i="1"/>
  <c r="J221" i="1"/>
  <c r="K221" i="1"/>
  <c r="L221" i="1"/>
  <c r="J222" i="1"/>
  <c r="K222" i="1"/>
  <c r="L222" i="1"/>
  <c r="J223" i="1"/>
  <c r="K223" i="1"/>
  <c r="L223" i="1"/>
  <c r="J224" i="1"/>
  <c r="K224" i="1"/>
  <c r="L224" i="1"/>
  <c r="J225" i="1"/>
  <c r="K225" i="1"/>
  <c r="L225" i="1"/>
  <c r="J226" i="1"/>
  <c r="K226" i="1"/>
  <c r="L226" i="1"/>
  <c r="J227" i="1"/>
  <c r="K227" i="1"/>
  <c r="L227" i="1"/>
  <c r="J228" i="1"/>
  <c r="K228" i="1"/>
  <c r="L228" i="1"/>
  <c r="J229" i="1"/>
  <c r="K229" i="1"/>
  <c r="L229" i="1"/>
  <c r="J230" i="1"/>
  <c r="K230" i="1"/>
  <c r="L230" i="1"/>
  <c r="J231" i="1"/>
  <c r="K231" i="1"/>
  <c r="L231" i="1"/>
  <c r="J232" i="1"/>
  <c r="K232" i="1"/>
  <c r="L232" i="1"/>
  <c r="J233" i="1"/>
  <c r="K233" i="1"/>
  <c r="L233" i="1"/>
  <c r="J234" i="1"/>
  <c r="K234" i="1"/>
  <c r="L234" i="1"/>
  <c r="J235" i="1"/>
  <c r="K235" i="1"/>
  <c r="L235" i="1"/>
  <c r="J236" i="1"/>
  <c r="K236" i="1"/>
  <c r="L236" i="1"/>
  <c r="J237" i="1"/>
  <c r="K237" i="1"/>
  <c r="L237" i="1"/>
  <c r="J238" i="1"/>
  <c r="K238" i="1"/>
  <c r="L238" i="1"/>
  <c r="J239" i="1"/>
  <c r="K239" i="1"/>
  <c r="L239" i="1"/>
  <c r="J240" i="1"/>
  <c r="K240" i="1"/>
  <c r="L240" i="1"/>
  <c r="J241" i="1"/>
  <c r="K241" i="1"/>
  <c r="L241" i="1"/>
  <c r="J242" i="1"/>
  <c r="K242" i="1"/>
  <c r="L242" i="1"/>
  <c r="J243" i="1"/>
  <c r="K243" i="1"/>
  <c r="L243" i="1"/>
  <c r="J244" i="1"/>
  <c r="K244" i="1"/>
  <c r="L244" i="1"/>
  <c r="J245" i="1"/>
  <c r="K245" i="1"/>
  <c r="L245" i="1"/>
  <c r="J246" i="1"/>
  <c r="K246" i="1"/>
  <c r="L246" i="1"/>
  <c r="J247" i="1"/>
  <c r="K247" i="1"/>
  <c r="L247" i="1"/>
  <c r="J248" i="1"/>
  <c r="K248" i="1"/>
  <c r="L248" i="1"/>
  <c r="J249" i="1"/>
  <c r="K249" i="1"/>
  <c r="L249" i="1"/>
  <c r="J250" i="1"/>
  <c r="K250" i="1"/>
  <c r="L250" i="1"/>
  <c r="J251" i="1"/>
  <c r="K251" i="1"/>
  <c r="L251" i="1"/>
  <c r="J252" i="1"/>
  <c r="K252" i="1"/>
  <c r="L252" i="1"/>
  <c r="J253" i="1"/>
  <c r="K253" i="1"/>
  <c r="L253" i="1"/>
  <c r="J254" i="1"/>
  <c r="K254" i="1"/>
  <c r="L254" i="1"/>
  <c r="J255" i="1"/>
  <c r="K255" i="1"/>
  <c r="L255" i="1"/>
  <c r="J256" i="1"/>
  <c r="K256" i="1"/>
  <c r="L256" i="1"/>
  <c r="J257" i="1"/>
  <c r="K257" i="1"/>
  <c r="L257" i="1"/>
  <c r="J258" i="1"/>
  <c r="K258" i="1"/>
  <c r="L258" i="1"/>
  <c r="J259" i="1"/>
  <c r="K259" i="1"/>
  <c r="L259" i="1"/>
  <c r="J260" i="1"/>
  <c r="K260" i="1"/>
  <c r="L260" i="1"/>
  <c r="J261" i="1"/>
  <c r="K261" i="1"/>
  <c r="L261" i="1"/>
  <c r="J262" i="1"/>
  <c r="K262" i="1"/>
  <c r="L262" i="1"/>
  <c r="J263" i="1"/>
  <c r="K263" i="1"/>
  <c r="L263" i="1"/>
  <c r="J264" i="1"/>
  <c r="K264" i="1"/>
  <c r="L264" i="1"/>
  <c r="J265" i="1"/>
  <c r="K265" i="1"/>
  <c r="L265" i="1"/>
  <c r="J266" i="1"/>
  <c r="K266" i="1"/>
  <c r="L266" i="1"/>
  <c r="J267" i="1"/>
  <c r="K267" i="1"/>
  <c r="L267" i="1"/>
  <c r="J268" i="1"/>
  <c r="K268" i="1"/>
  <c r="L268" i="1"/>
  <c r="J269" i="1"/>
  <c r="K269" i="1"/>
  <c r="L269" i="1"/>
  <c r="J270" i="1"/>
  <c r="K270" i="1"/>
  <c r="L270" i="1"/>
  <c r="J271" i="1"/>
  <c r="K271" i="1"/>
  <c r="L271" i="1"/>
  <c r="J272" i="1"/>
  <c r="K272" i="1"/>
  <c r="L272" i="1"/>
  <c r="J273" i="1"/>
  <c r="K273" i="1"/>
  <c r="L273" i="1"/>
  <c r="J274" i="1"/>
  <c r="K274" i="1"/>
  <c r="L274" i="1"/>
  <c r="J275" i="1"/>
  <c r="K275" i="1"/>
  <c r="L275" i="1"/>
  <c r="J276" i="1"/>
  <c r="K276" i="1"/>
  <c r="L276" i="1"/>
  <c r="J277" i="1"/>
  <c r="K277" i="1"/>
  <c r="L277" i="1"/>
  <c r="J278" i="1"/>
  <c r="K278" i="1"/>
  <c r="L278" i="1"/>
  <c r="J279" i="1"/>
  <c r="K279" i="1"/>
  <c r="L279" i="1"/>
  <c r="L2" i="1"/>
  <c r="K2" i="1"/>
  <c r="J2" i="1"/>
  <c r="P1" i="1"/>
  <c r="O1" i="1"/>
  <c r="N1" i="1"/>
  <c r="L1" i="1"/>
  <c r="K1" i="1"/>
  <c r="J1" i="1"/>
  <c r="F3" i="1"/>
  <c r="G3" i="1"/>
  <c r="H3" i="1"/>
  <c r="F4" i="1"/>
  <c r="G4" i="1"/>
  <c r="H4" i="1"/>
  <c r="F5" i="1"/>
  <c r="G5" i="1"/>
  <c r="H5" i="1"/>
  <c r="F6" i="1"/>
  <c r="G6" i="1"/>
  <c r="H6" i="1"/>
  <c r="F7" i="1"/>
  <c r="G7" i="1"/>
  <c r="H7" i="1"/>
  <c r="F8" i="1"/>
  <c r="G8" i="1"/>
  <c r="H8" i="1"/>
  <c r="F9" i="1"/>
  <c r="G9" i="1"/>
  <c r="H9" i="1"/>
  <c r="F10" i="1"/>
  <c r="G10" i="1"/>
  <c r="H10" i="1"/>
  <c r="F11" i="1"/>
  <c r="G11" i="1"/>
  <c r="H11" i="1"/>
  <c r="F12" i="1"/>
  <c r="G12" i="1"/>
  <c r="H12" i="1"/>
  <c r="F13" i="1"/>
  <c r="G13" i="1"/>
  <c r="H13" i="1"/>
  <c r="F14" i="1"/>
  <c r="G14" i="1"/>
  <c r="H14" i="1"/>
  <c r="F15" i="1"/>
  <c r="G15" i="1"/>
  <c r="H15" i="1"/>
  <c r="F16" i="1"/>
  <c r="G16" i="1"/>
  <c r="H16" i="1"/>
  <c r="F17" i="1"/>
  <c r="G17" i="1"/>
  <c r="H17" i="1"/>
  <c r="F18" i="1"/>
  <c r="G18" i="1"/>
  <c r="H18" i="1"/>
  <c r="F19" i="1"/>
  <c r="G19" i="1"/>
  <c r="H19" i="1"/>
  <c r="F20" i="1"/>
  <c r="G20" i="1"/>
  <c r="H20" i="1"/>
  <c r="F21" i="1"/>
  <c r="G21" i="1"/>
  <c r="H21" i="1"/>
  <c r="F22" i="1"/>
  <c r="G22" i="1"/>
  <c r="H22" i="1"/>
  <c r="F23" i="1"/>
  <c r="G23" i="1"/>
  <c r="H23" i="1"/>
  <c r="F24" i="1"/>
  <c r="G24" i="1"/>
  <c r="H24" i="1"/>
  <c r="F25" i="1"/>
  <c r="G25" i="1"/>
  <c r="H25" i="1"/>
  <c r="F26" i="1"/>
  <c r="G26" i="1"/>
  <c r="H26" i="1"/>
  <c r="F27" i="1"/>
  <c r="G27" i="1"/>
  <c r="H27" i="1"/>
  <c r="F28" i="1"/>
  <c r="G28" i="1"/>
  <c r="H28" i="1"/>
  <c r="F29" i="1"/>
  <c r="G29" i="1"/>
  <c r="H29" i="1"/>
  <c r="F30" i="1"/>
  <c r="G30" i="1"/>
  <c r="H30" i="1"/>
  <c r="F31" i="1"/>
  <c r="G31" i="1"/>
  <c r="H31" i="1"/>
  <c r="F32" i="1"/>
  <c r="G32" i="1"/>
  <c r="H32" i="1"/>
  <c r="F33" i="1"/>
  <c r="G33" i="1"/>
  <c r="H33" i="1"/>
  <c r="F34" i="1"/>
  <c r="G34" i="1"/>
  <c r="H34" i="1"/>
  <c r="F35" i="1"/>
  <c r="G35" i="1"/>
  <c r="H35" i="1"/>
  <c r="F36" i="1"/>
  <c r="G36" i="1"/>
  <c r="H36" i="1"/>
  <c r="F37" i="1"/>
  <c r="G37" i="1"/>
  <c r="H37" i="1"/>
  <c r="F38" i="1"/>
  <c r="G38" i="1"/>
  <c r="H38" i="1"/>
  <c r="F39" i="1"/>
  <c r="G39" i="1"/>
  <c r="H39" i="1"/>
  <c r="F40" i="1"/>
  <c r="G40" i="1"/>
  <c r="H40" i="1"/>
  <c r="F41" i="1"/>
  <c r="G41" i="1"/>
  <c r="H41" i="1"/>
  <c r="F42" i="1"/>
  <c r="G42" i="1"/>
  <c r="H42" i="1"/>
  <c r="F43" i="1"/>
  <c r="G43" i="1"/>
  <c r="H43" i="1"/>
  <c r="F44" i="1"/>
  <c r="G44" i="1"/>
  <c r="H44" i="1"/>
  <c r="F45" i="1"/>
  <c r="G45" i="1"/>
  <c r="H45" i="1"/>
  <c r="F46" i="1"/>
  <c r="G46" i="1"/>
  <c r="H46" i="1"/>
  <c r="F47" i="1"/>
  <c r="G47" i="1"/>
  <c r="H47" i="1"/>
  <c r="F48" i="1"/>
  <c r="G48" i="1"/>
  <c r="H48" i="1"/>
  <c r="F49" i="1"/>
  <c r="G49" i="1"/>
  <c r="H49" i="1"/>
  <c r="F50" i="1"/>
  <c r="G50" i="1"/>
  <c r="H50" i="1"/>
  <c r="F51" i="1"/>
  <c r="G51" i="1"/>
  <c r="H51" i="1"/>
  <c r="F52" i="1"/>
  <c r="G52" i="1"/>
  <c r="H52" i="1"/>
  <c r="F53" i="1"/>
  <c r="G53" i="1"/>
  <c r="H53" i="1"/>
  <c r="F54" i="1"/>
  <c r="G54" i="1"/>
  <c r="H54" i="1"/>
  <c r="F55" i="1"/>
  <c r="G55" i="1"/>
  <c r="H55" i="1"/>
  <c r="F56" i="1"/>
  <c r="G56" i="1"/>
  <c r="H56" i="1"/>
  <c r="F57" i="1"/>
  <c r="G57" i="1"/>
  <c r="H57" i="1"/>
  <c r="F58" i="1"/>
  <c r="G58" i="1"/>
  <c r="H58" i="1"/>
  <c r="F59" i="1"/>
  <c r="G59" i="1"/>
  <c r="H59" i="1"/>
  <c r="F60" i="1"/>
  <c r="G60" i="1"/>
  <c r="H60" i="1"/>
  <c r="F61" i="1"/>
  <c r="G61" i="1"/>
  <c r="H61" i="1"/>
  <c r="F62" i="1"/>
  <c r="G62" i="1"/>
  <c r="H62" i="1"/>
  <c r="F63" i="1"/>
  <c r="G63" i="1"/>
  <c r="H63" i="1"/>
  <c r="F64" i="1"/>
  <c r="G64" i="1"/>
  <c r="H64" i="1"/>
  <c r="F65" i="1"/>
  <c r="G65" i="1"/>
  <c r="H65" i="1"/>
  <c r="F66" i="1"/>
  <c r="G66" i="1"/>
  <c r="H66" i="1"/>
  <c r="F67" i="1"/>
  <c r="G67" i="1"/>
  <c r="H67" i="1"/>
  <c r="F68" i="1"/>
  <c r="G68" i="1"/>
  <c r="H68" i="1"/>
  <c r="F69" i="1"/>
  <c r="G69" i="1"/>
  <c r="H69" i="1"/>
  <c r="F70" i="1"/>
  <c r="G70" i="1"/>
  <c r="H70" i="1"/>
  <c r="F71" i="1"/>
  <c r="G71" i="1"/>
  <c r="H71" i="1"/>
  <c r="F72" i="1"/>
  <c r="G72" i="1"/>
  <c r="H72" i="1"/>
  <c r="F73" i="1"/>
  <c r="G73" i="1"/>
  <c r="H73" i="1"/>
  <c r="F74" i="1"/>
  <c r="G74" i="1"/>
  <c r="H74" i="1"/>
  <c r="F75" i="1"/>
  <c r="G75" i="1"/>
  <c r="H75" i="1"/>
  <c r="F76" i="1"/>
  <c r="G76" i="1"/>
  <c r="H76" i="1"/>
  <c r="F77" i="1"/>
  <c r="G77" i="1"/>
  <c r="H77" i="1"/>
  <c r="F78" i="1"/>
  <c r="G78" i="1"/>
  <c r="H78" i="1"/>
  <c r="F79" i="1"/>
  <c r="G79" i="1"/>
  <c r="H79" i="1"/>
  <c r="F80" i="1"/>
  <c r="G80" i="1"/>
  <c r="H80" i="1"/>
  <c r="F81" i="1"/>
  <c r="G81" i="1"/>
  <c r="H81" i="1"/>
  <c r="F82" i="1"/>
  <c r="G82" i="1"/>
  <c r="H82" i="1"/>
  <c r="F83" i="1"/>
  <c r="G83" i="1"/>
  <c r="H83" i="1"/>
  <c r="F84" i="1"/>
  <c r="G84" i="1"/>
  <c r="H84" i="1"/>
  <c r="F85" i="1"/>
  <c r="G85" i="1"/>
  <c r="H85" i="1"/>
  <c r="F86" i="1"/>
  <c r="G86" i="1"/>
  <c r="H86" i="1"/>
  <c r="F87" i="1"/>
  <c r="G87" i="1"/>
  <c r="H87" i="1"/>
  <c r="F88" i="1"/>
  <c r="G88" i="1"/>
  <c r="H88" i="1"/>
  <c r="F89" i="1"/>
  <c r="G89" i="1"/>
  <c r="H89" i="1"/>
  <c r="F90" i="1"/>
  <c r="G90" i="1"/>
  <c r="H90" i="1"/>
  <c r="F91" i="1"/>
  <c r="G91" i="1"/>
  <c r="H91" i="1"/>
  <c r="F92" i="1"/>
  <c r="G92" i="1"/>
  <c r="H92" i="1"/>
  <c r="F93" i="1"/>
  <c r="G93" i="1"/>
  <c r="H93" i="1"/>
  <c r="F94" i="1"/>
  <c r="G94" i="1"/>
  <c r="H94" i="1"/>
  <c r="F95" i="1"/>
  <c r="G95" i="1"/>
  <c r="H95" i="1"/>
  <c r="F96" i="1"/>
  <c r="G96" i="1"/>
  <c r="H96" i="1"/>
  <c r="F97" i="1"/>
  <c r="G97" i="1"/>
  <c r="H97" i="1"/>
  <c r="F98" i="1"/>
  <c r="G98" i="1"/>
  <c r="H98" i="1"/>
  <c r="F99" i="1"/>
  <c r="G99" i="1"/>
  <c r="H99" i="1"/>
  <c r="F100" i="1"/>
  <c r="G100" i="1"/>
  <c r="H100" i="1"/>
  <c r="F101" i="1"/>
  <c r="G101" i="1"/>
  <c r="H101" i="1"/>
  <c r="F102" i="1"/>
  <c r="G102" i="1"/>
  <c r="H102" i="1"/>
  <c r="F103" i="1"/>
  <c r="G103" i="1"/>
  <c r="H103" i="1"/>
  <c r="F104" i="1"/>
  <c r="G104" i="1"/>
  <c r="H104" i="1"/>
  <c r="F105" i="1"/>
  <c r="G105" i="1"/>
  <c r="H105" i="1"/>
  <c r="F106" i="1"/>
  <c r="G106" i="1"/>
  <c r="H106" i="1"/>
  <c r="F107" i="1"/>
  <c r="G107" i="1"/>
  <c r="H107" i="1"/>
  <c r="F108" i="1"/>
  <c r="G108" i="1"/>
  <c r="H108" i="1"/>
  <c r="F109" i="1"/>
  <c r="G109" i="1"/>
  <c r="H109" i="1"/>
  <c r="F110" i="1"/>
  <c r="G110" i="1"/>
  <c r="H110" i="1"/>
  <c r="F111" i="1"/>
  <c r="G111" i="1"/>
  <c r="H111" i="1"/>
  <c r="F112" i="1"/>
  <c r="G112" i="1"/>
  <c r="H112" i="1"/>
  <c r="F113" i="1"/>
  <c r="G113" i="1"/>
  <c r="H113" i="1"/>
  <c r="F114" i="1"/>
  <c r="G114" i="1"/>
  <c r="H114" i="1"/>
  <c r="F115" i="1"/>
  <c r="G115" i="1"/>
  <c r="H115" i="1"/>
  <c r="F116" i="1"/>
  <c r="G116" i="1"/>
  <c r="H116" i="1"/>
  <c r="F117" i="1"/>
  <c r="G117" i="1"/>
  <c r="H117" i="1"/>
  <c r="F118" i="1"/>
  <c r="G118" i="1"/>
  <c r="H118" i="1"/>
  <c r="F119" i="1"/>
  <c r="G119" i="1"/>
  <c r="H119" i="1"/>
  <c r="F120" i="1"/>
  <c r="G120" i="1"/>
  <c r="H120" i="1"/>
  <c r="F121" i="1"/>
  <c r="G121" i="1"/>
  <c r="H121" i="1"/>
  <c r="F122" i="1"/>
  <c r="G122" i="1"/>
  <c r="H122" i="1"/>
  <c r="F123" i="1"/>
  <c r="G123" i="1"/>
  <c r="H123" i="1"/>
  <c r="F124" i="1"/>
  <c r="G124" i="1"/>
  <c r="H124" i="1"/>
  <c r="F125" i="1"/>
  <c r="G125" i="1"/>
  <c r="H125" i="1"/>
  <c r="F126" i="1"/>
  <c r="G126" i="1"/>
  <c r="H126" i="1"/>
  <c r="F127" i="1"/>
  <c r="G127" i="1"/>
  <c r="H127" i="1"/>
  <c r="F128" i="1"/>
  <c r="G128" i="1"/>
  <c r="H128" i="1"/>
  <c r="F129" i="1"/>
  <c r="G129" i="1"/>
  <c r="H129" i="1"/>
  <c r="F130" i="1"/>
  <c r="G130" i="1"/>
  <c r="H130" i="1"/>
  <c r="F131" i="1"/>
  <c r="G131" i="1"/>
  <c r="H131" i="1"/>
  <c r="F132" i="1"/>
  <c r="G132" i="1"/>
  <c r="H132" i="1"/>
  <c r="F133" i="1"/>
  <c r="G133" i="1"/>
  <c r="H133" i="1"/>
  <c r="F134" i="1"/>
  <c r="G134" i="1"/>
  <c r="H134" i="1"/>
  <c r="F135" i="1"/>
  <c r="G135" i="1"/>
  <c r="H135" i="1"/>
  <c r="F136" i="1"/>
  <c r="G136" i="1"/>
  <c r="H136" i="1"/>
  <c r="F137" i="1"/>
  <c r="G137" i="1"/>
  <c r="H137" i="1"/>
  <c r="F138" i="1"/>
  <c r="G138" i="1"/>
  <c r="H138" i="1"/>
  <c r="F139" i="1"/>
  <c r="G139" i="1"/>
  <c r="H139" i="1"/>
  <c r="F140" i="1"/>
  <c r="G140" i="1"/>
  <c r="H140" i="1"/>
  <c r="F141" i="1"/>
  <c r="G141" i="1"/>
  <c r="H141" i="1"/>
  <c r="F142" i="1"/>
  <c r="G142" i="1"/>
  <c r="H142" i="1"/>
  <c r="F143" i="1"/>
  <c r="G143" i="1"/>
  <c r="H143" i="1"/>
  <c r="F144" i="1"/>
  <c r="G144" i="1"/>
  <c r="H144" i="1"/>
  <c r="F145" i="1"/>
  <c r="G145" i="1"/>
  <c r="H145" i="1"/>
  <c r="F146" i="1"/>
  <c r="G146" i="1"/>
  <c r="H146" i="1"/>
  <c r="F147" i="1"/>
  <c r="G147" i="1"/>
  <c r="H147" i="1"/>
  <c r="F148" i="1"/>
  <c r="G148" i="1"/>
  <c r="H148" i="1"/>
  <c r="F149" i="1"/>
  <c r="G149" i="1"/>
  <c r="H149" i="1"/>
  <c r="F150" i="1"/>
  <c r="G150" i="1"/>
  <c r="H150" i="1"/>
  <c r="F151" i="1"/>
  <c r="G151" i="1"/>
  <c r="H151" i="1"/>
  <c r="F152" i="1"/>
  <c r="G152" i="1"/>
  <c r="H152" i="1"/>
  <c r="F153" i="1"/>
  <c r="G153" i="1"/>
  <c r="H153" i="1"/>
  <c r="F154" i="1"/>
  <c r="G154" i="1"/>
  <c r="H154" i="1"/>
  <c r="F155" i="1"/>
  <c r="G155" i="1"/>
  <c r="H155" i="1"/>
  <c r="F156" i="1"/>
  <c r="G156" i="1"/>
  <c r="H156" i="1"/>
  <c r="F157" i="1"/>
  <c r="G157" i="1"/>
  <c r="H157" i="1"/>
  <c r="F158" i="1"/>
  <c r="G158" i="1"/>
  <c r="H158" i="1"/>
  <c r="F159" i="1"/>
  <c r="G159" i="1"/>
  <c r="H159" i="1"/>
  <c r="F160" i="1"/>
  <c r="G160" i="1"/>
  <c r="H160" i="1"/>
  <c r="F161" i="1"/>
  <c r="G161" i="1"/>
  <c r="H161" i="1"/>
  <c r="F162" i="1"/>
  <c r="G162" i="1"/>
  <c r="H162" i="1"/>
  <c r="F163" i="1"/>
  <c r="G163" i="1"/>
  <c r="H163" i="1"/>
  <c r="F164" i="1"/>
  <c r="G164" i="1"/>
  <c r="H164" i="1"/>
  <c r="F165" i="1"/>
  <c r="G165" i="1"/>
  <c r="H165" i="1"/>
  <c r="F166" i="1"/>
  <c r="G166" i="1"/>
  <c r="H166" i="1"/>
  <c r="F167" i="1"/>
  <c r="G167" i="1"/>
  <c r="H167" i="1"/>
  <c r="F168" i="1"/>
  <c r="G168" i="1"/>
  <c r="H168" i="1"/>
  <c r="F169" i="1"/>
  <c r="G169" i="1"/>
  <c r="H169" i="1"/>
  <c r="F170" i="1"/>
  <c r="G170" i="1"/>
  <c r="H170" i="1"/>
  <c r="F171" i="1"/>
  <c r="G171" i="1"/>
  <c r="H171" i="1"/>
  <c r="F172" i="1"/>
  <c r="G172" i="1"/>
  <c r="H172" i="1"/>
  <c r="F173" i="1"/>
  <c r="G173" i="1"/>
  <c r="H173" i="1"/>
  <c r="F174" i="1"/>
  <c r="G174" i="1"/>
  <c r="H174" i="1"/>
  <c r="F175" i="1"/>
  <c r="G175" i="1"/>
  <c r="H175" i="1"/>
  <c r="F176" i="1"/>
  <c r="G176" i="1"/>
  <c r="H176" i="1"/>
  <c r="F177" i="1"/>
  <c r="G177" i="1"/>
  <c r="H177" i="1"/>
  <c r="F178" i="1"/>
  <c r="G178" i="1"/>
  <c r="H178" i="1"/>
  <c r="F179" i="1"/>
  <c r="G179" i="1"/>
  <c r="H179" i="1"/>
  <c r="F180" i="1"/>
  <c r="G180" i="1"/>
  <c r="H180" i="1"/>
  <c r="F181" i="1"/>
  <c r="G181" i="1"/>
  <c r="H181" i="1"/>
  <c r="F182" i="1"/>
  <c r="G182" i="1"/>
  <c r="H182" i="1"/>
  <c r="F183" i="1"/>
  <c r="G183" i="1"/>
  <c r="H183" i="1"/>
  <c r="F184" i="1"/>
  <c r="G184" i="1"/>
  <c r="H184" i="1"/>
  <c r="F185" i="1"/>
  <c r="G185" i="1"/>
  <c r="H185" i="1"/>
  <c r="F186" i="1"/>
  <c r="G186" i="1"/>
  <c r="H186" i="1"/>
  <c r="F187" i="1"/>
  <c r="G187" i="1"/>
  <c r="H187" i="1"/>
  <c r="F188" i="1"/>
  <c r="G188" i="1"/>
  <c r="H188" i="1"/>
  <c r="F189" i="1"/>
  <c r="G189" i="1"/>
  <c r="H189" i="1"/>
  <c r="F190" i="1"/>
  <c r="G190" i="1"/>
  <c r="H190" i="1"/>
  <c r="F191" i="1"/>
  <c r="G191" i="1"/>
  <c r="H191" i="1"/>
  <c r="F192" i="1"/>
  <c r="G192" i="1"/>
  <c r="H192" i="1"/>
  <c r="F193" i="1"/>
  <c r="G193" i="1"/>
  <c r="H193" i="1"/>
  <c r="F194" i="1"/>
  <c r="G194" i="1"/>
  <c r="H194" i="1"/>
  <c r="F195" i="1"/>
  <c r="G195" i="1"/>
  <c r="H195" i="1"/>
  <c r="F196" i="1"/>
  <c r="G196" i="1"/>
  <c r="H196" i="1"/>
  <c r="F197" i="1"/>
  <c r="G197" i="1"/>
  <c r="H197" i="1"/>
  <c r="F198" i="1"/>
  <c r="G198" i="1"/>
  <c r="H198" i="1"/>
  <c r="F199" i="1"/>
  <c r="G199" i="1"/>
  <c r="H199" i="1"/>
  <c r="F200" i="1"/>
  <c r="G200" i="1"/>
  <c r="H200" i="1"/>
  <c r="F201" i="1"/>
  <c r="G201" i="1"/>
  <c r="H201" i="1"/>
  <c r="F202" i="1"/>
  <c r="G202" i="1"/>
  <c r="H202" i="1"/>
  <c r="F203" i="1"/>
  <c r="G203" i="1"/>
  <c r="H203" i="1"/>
  <c r="F204" i="1"/>
  <c r="G204" i="1"/>
  <c r="H204" i="1"/>
  <c r="F205" i="1"/>
  <c r="G205" i="1"/>
  <c r="H205" i="1"/>
  <c r="F206" i="1"/>
  <c r="G206" i="1"/>
  <c r="H206" i="1"/>
  <c r="F207" i="1"/>
  <c r="G207" i="1"/>
  <c r="H207" i="1"/>
  <c r="F208" i="1"/>
  <c r="G208" i="1"/>
  <c r="H208" i="1"/>
  <c r="F209" i="1"/>
  <c r="G209" i="1"/>
  <c r="H209" i="1"/>
  <c r="F210" i="1"/>
  <c r="G210" i="1"/>
  <c r="H210" i="1"/>
  <c r="F211" i="1"/>
  <c r="G211" i="1"/>
  <c r="H211" i="1"/>
  <c r="F212" i="1"/>
  <c r="G212" i="1"/>
  <c r="H212" i="1"/>
  <c r="F213" i="1"/>
  <c r="G213" i="1"/>
  <c r="H213" i="1"/>
  <c r="F214" i="1"/>
  <c r="G214" i="1"/>
  <c r="H214" i="1"/>
  <c r="F215" i="1"/>
  <c r="G215" i="1"/>
  <c r="H215" i="1"/>
  <c r="F216" i="1"/>
  <c r="G216" i="1"/>
  <c r="H216" i="1"/>
  <c r="F217" i="1"/>
  <c r="G217" i="1"/>
  <c r="H217" i="1"/>
  <c r="F218" i="1"/>
  <c r="G218" i="1"/>
  <c r="H218" i="1"/>
  <c r="F219" i="1"/>
  <c r="G219" i="1"/>
  <c r="H219" i="1"/>
  <c r="F220" i="1"/>
  <c r="G220" i="1"/>
  <c r="H220" i="1"/>
  <c r="F221" i="1"/>
  <c r="G221" i="1"/>
  <c r="H221" i="1"/>
  <c r="F222" i="1"/>
  <c r="G222" i="1"/>
  <c r="H222" i="1"/>
  <c r="F223" i="1"/>
  <c r="G223" i="1"/>
  <c r="H223" i="1"/>
  <c r="F224" i="1"/>
  <c r="G224" i="1"/>
  <c r="H224" i="1"/>
  <c r="F225" i="1"/>
  <c r="G225" i="1"/>
  <c r="H225" i="1"/>
  <c r="F226" i="1"/>
  <c r="G226" i="1"/>
  <c r="H226" i="1"/>
  <c r="F227" i="1"/>
  <c r="G227" i="1"/>
  <c r="H227" i="1"/>
  <c r="F228" i="1"/>
  <c r="G228" i="1"/>
  <c r="H228" i="1"/>
  <c r="F229" i="1"/>
  <c r="G229" i="1"/>
  <c r="H229" i="1"/>
  <c r="F230" i="1"/>
  <c r="G230" i="1"/>
  <c r="H230" i="1"/>
  <c r="F231" i="1"/>
  <c r="G231" i="1"/>
  <c r="H231" i="1"/>
  <c r="F232" i="1"/>
  <c r="G232" i="1"/>
  <c r="H232" i="1"/>
  <c r="F233" i="1"/>
  <c r="G233" i="1"/>
  <c r="H233" i="1"/>
  <c r="F234" i="1"/>
  <c r="G234" i="1"/>
  <c r="H234" i="1"/>
  <c r="F235" i="1"/>
  <c r="G235" i="1"/>
  <c r="H235" i="1"/>
  <c r="F236" i="1"/>
  <c r="G236" i="1"/>
  <c r="H236" i="1"/>
  <c r="F237" i="1"/>
  <c r="G237" i="1"/>
  <c r="H237" i="1"/>
  <c r="F238" i="1"/>
  <c r="G238" i="1"/>
  <c r="H238" i="1"/>
  <c r="F239" i="1"/>
  <c r="G239" i="1"/>
  <c r="H239" i="1"/>
  <c r="F240" i="1"/>
  <c r="G240" i="1"/>
  <c r="H240" i="1"/>
  <c r="F241" i="1"/>
  <c r="G241" i="1"/>
  <c r="H241" i="1"/>
  <c r="F242" i="1"/>
  <c r="G242" i="1"/>
  <c r="H242" i="1"/>
  <c r="F243" i="1"/>
  <c r="G243" i="1"/>
  <c r="H243" i="1"/>
  <c r="F244" i="1"/>
  <c r="G244" i="1"/>
  <c r="H244" i="1"/>
  <c r="F245" i="1"/>
  <c r="G245" i="1"/>
  <c r="H245" i="1"/>
  <c r="F246" i="1"/>
  <c r="G246" i="1"/>
  <c r="H246" i="1"/>
  <c r="F247" i="1"/>
  <c r="G247" i="1"/>
  <c r="H247" i="1"/>
  <c r="F248" i="1"/>
  <c r="G248" i="1"/>
  <c r="H248" i="1"/>
  <c r="F249" i="1"/>
  <c r="G249" i="1"/>
  <c r="H249" i="1"/>
  <c r="F250" i="1"/>
  <c r="G250" i="1"/>
  <c r="H250" i="1"/>
  <c r="F251" i="1"/>
  <c r="G251" i="1"/>
  <c r="H251" i="1"/>
  <c r="F252" i="1"/>
  <c r="G252" i="1"/>
  <c r="H252" i="1"/>
  <c r="F253" i="1"/>
  <c r="G253" i="1"/>
  <c r="H253" i="1"/>
  <c r="F254" i="1"/>
  <c r="G254" i="1"/>
  <c r="H254" i="1"/>
  <c r="F255" i="1"/>
  <c r="G255" i="1"/>
  <c r="H255" i="1"/>
  <c r="F256" i="1"/>
  <c r="G256" i="1"/>
  <c r="H256" i="1"/>
  <c r="F257" i="1"/>
  <c r="G257" i="1"/>
  <c r="H257" i="1"/>
  <c r="F258" i="1"/>
  <c r="G258" i="1"/>
  <c r="H258" i="1"/>
  <c r="F259" i="1"/>
  <c r="G259" i="1"/>
  <c r="H259" i="1"/>
  <c r="F260" i="1"/>
  <c r="G260" i="1"/>
  <c r="H260" i="1"/>
  <c r="F261" i="1"/>
  <c r="G261" i="1"/>
  <c r="H261" i="1"/>
  <c r="F262" i="1"/>
  <c r="G262" i="1"/>
  <c r="H262" i="1"/>
  <c r="F263" i="1"/>
  <c r="G263" i="1"/>
  <c r="H263" i="1"/>
  <c r="F264" i="1"/>
  <c r="G264" i="1"/>
  <c r="H264" i="1"/>
  <c r="F265" i="1"/>
  <c r="G265" i="1"/>
  <c r="H265" i="1"/>
  <c r="F266" i="1"/>
  <c r="G266" i="1"/>
  <c r="H266" i="1"/>
  <c r="F267" i="1"/>
  <c r="G267" i="1"/>
  <c r="H267" i="1"/>
  <c r="F268" i="1"/>
  <c r="G268" i="1"/>
  <c r="H268" i="1"/>
  <c r="F269" i="1"/>
  <c r="G269" i="1"/>
  <c r="H269" i="1"/>
  <c r="F270" i="1"/>
  <c r="G270" i="1"/>
  <c r="H270" i="1"/>
  <c r="F271" i="1"/>
  <c r="G271" i="1"/>
  <c r="H271" i="1"/>
  <c r="F272" i="1"/>
  <c r="G272" i="1"/>
  <c r="H272" i="1"/>
  <c r="F273" i="1"/>
  <c r="G273" i="1"/>
  <c r="H273" i="1"/>
  <c r="F274" i="1"/>
  <c r="G274" i="1"/>
  <c r="H274" i="1"/>
  <c r="F275" i="1"/>
  <c r="G275" i="1"/>
  <c r="H275" i="1"/>
  <c r="F276" i="1"/>
  <c r="G276" i="1"/>
  <c r="H276" i="1"/>
  <c r="F277" i="1"/>
  <c r="G277" i="1"/>
  <c r="H277" i="1"/>
  <c r="F278" i="1"/>
  <c r="G278" i="1"/>
  <c r="H278" i="1"/>
  <c r="F279" i="1"/>
  <c r="G279" i="1"/>
  <c r="H279" i="1"/>
  <c r="H2" i="1"/>
  <c r="G2" i="1"/>
  <c r="F2" i="1"/>
  <c r="H1" i="1"/>
  <c r="G1" i="1"/>
  <c r="F1" i="1"/>
  <c r="U50" i="1" l="1"/>
  <c r="W65" i="1"/>
  <c r="X65" i="1" s="1"/>
  <c r="X127" i="1"/>
  <c r="W127" i="1"/>
</calcChain>
</file>

<file path=xl/sharedStrings.xml><?xml version="1.0" encoding="utf-8"?>
<sst xmlns="http://schemas.openxmlformats.org/spreadsheetml/2006/main" count="9" uniqueCount="6">
  <si>
    <t>;CO_TAZID</t>
  </si>
  <si>
    <t>SEC_HOME</t>
  </si>
  <si>
    <t>CABIN</t>
  </si>
  <si>
    <t>CONDO</t>
  </si>
  <si>
    <t>Diff</t>
  </si>
  <si>
    <t>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</si>
</sst>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wilding\Downloads\SE_Data_Distribution\43_Summit\SE_SUMMIT_2032_US40.csv" TargetMode="External"/><Relationship Id="rId1" Type="http://schemas.openxmlformats.org/officeDocument/2006/relationships/externalLinkPath" Target="file:///C:\Users\awilding\Downloads\SE_Data_Distribution\43_Summit\SE_SUMMIT_2032_US40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wilding\Downloads\SE_Data_Distribution\43_Summit\SE_SUMMIT_2042_US40.csv" TargetMode="External"/><Relationship Id="rId1" Type="http://schemas.openxmlformats.org/officeDocument/2006/relationships/externalLinkPath" Target="file:///C:\Users\awilding\Downloads\SE_Data_Distribution\43_Summit\SE_SUMMIT_2042_US40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wilding\Downloads\SE_Data_Distribution\43_Summit\SE_SUMMIT_2050_US40_Richardson_Flat_SPLITS.csv" TargetMode="External"/><Relationship Id="rId1" Type="http://schemas.openxmlformats.org/officeDocument/2006/relationships/externalLinkPath" Target="file:///C:\Users\awilding\Downloads\SE_Data_Distribution\43_Summit\SE_SUMMIT_2050_US40_Richardson_Flat_SPLIT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_SUMMIT_2032_US40"/>
    </sheetNames>
    <sheetDataSet>
      <sheetData sheetId="0">
        <row r="1">
          <cell r="A1" t="str">
            <v>;CO_TAZID</v>
          </cell>
          <cell r="B1" t="str">
            <v>Index</v>
          </cell>
          <cell r="C1" t="str">
            <v>TOTHH</v>
          </cell>
          <cell r="D1" t="str">
            <v>HHPOP</v>
          </cell>
          <cell r="E1" t="str">
            <v>HHSIZE</v>
          </cell>
          <cell r="F1" t="str">
            <v>TOTEMP</v>
          </cell>
          <cell r="G1" t="str">
            <v>RETEMP</v>
          </cell>
          <cell r="H1" t="str">
            <v>INDEMP</v>
          </cell>
          <cell r="I1" t="str">
            <v>OTHEMP</v>
          </cell>
          <cell r="J1" t="str">
            <v>ALLEMP</v>
          </cell>
          <cell r="K1" t="str">
            <v>RETL</v>
          </cell>
          <cell r="L1" t="str">
            <v>FOOD</v>
          </cell>
          <cell r="M1" t="str">
            <v>MANU</v>
          </cell>
          <cell r="N1" t="str">
            <v>WSLE</v>
          </cell>
          <cell r="O1" t="str">
            <v>OFFI</v>
          </cell>
          <cell r="P1" t="str">
            <v>GVED</v>
          </cell>
          <cell r="Q1" t="str">
            <v>HLTH</v>
          </cell>
          <cell r="R1" t="str">
            <v>OTHR</v>
          </cell>
          <cell r="S1" t="str">
            <v>FM_AGRI</v>
          </cell>
          <cell r="T1" t="str">
            <v>FM_MING</v>
          </cell>
          <cell r="U1" t="str">
            <v>FM_CONS</v>
          </cell>
          <cell r="V1" t="str">
            <v>HBJ</v>
          </cell>
          <cell r="W1" t="str">
            <v>SEC_HOME</v>
          </cell>
          <cell r="X1" t="str">
            <v>CABIN</v>
          </cell>
          <cell r="Y1" t="str">
            <v>CONDO</v>
          </cell>
          <cell r="Z1" t="str">
            <v>HOTEL</v>
          </cell>
        </row>
        <row r="2">
          <cell r="A2">
            <v>43001</v>
          </cell>
          <cell r="B2">
            <v>1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2</v>
          </cell>
          <cell r="X2">
            <v>0</v>
          </cell>
          <cell r="Y2">
            <v>0</v>
          </cell>
          <cell r="Z2">
            <v>0</v>
          </cell>
        </row>
        <row r="3">
          <cell r="A3">
            <v>43002</v>
          </cell>
          <cell r="B3">
            <v>2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</row>
        <row r="4">
          <cell r="A4">
            <v>43003</v>
          </cell>
          <cell r="B4">
            <v>3</v>
          </cell>
          <cell r="C4">
            <v>35</v>
          </cell>
          <cell r="D4">
            <v>105.8</v>
          </cell>
          <cell r="E4">
            <v>3.02</v>
          </cell>
          <cell r="F4">
            <v>3.6</v>
          </cell>
          <cell r="G4">
            <v>0</v>
          </cell>
          <cell r="H4">
            <v>0</v>
          </cell>
          <cell r="I4">
            <v>3.5</v>
          </cell>
          <cell r="J4">
            <v>8.9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3.4</v>
          </cell>
          <cell r="P4">
            <v>0</v>
          </cell>
          <cell r="Q4">
            <v>0</v>
          </cell>
          <cell r="R4">
            <v>0.1</v>
          </cell>
          <cell r="S4">
            <v>0</v>
          </cell>
          <cell r="T4">
            <v>0</v>
          </cell>
          <cell r="U4">
            <v>1</v>
          </cell>
          <cell r="V4">
            <v>4.3</v>
          </cell>
          <cell r="W4">
            <v>13</v>
          </cell>
          <cell r="X4">
            <v>0</v>
          </cell>
          <cell r="Y4">
            <v>0</v>
          </cell>
          <cell r="Z4">
            <v>0</v>
          </cell>
        </row>
        <row r="5">
          <cell r="A5">
            <v>43004</v>
          </cell>
          <cell r="B5">
            <v>4</v>
          </cell>
          <cell r="C5">
            <v>485.9</v>
          </cell>
          <cell r="D5">
            <v>1402.9</v>
          </cell>
          <cell r="E5">
            <v>2.89</v>
          </cell>
          <cell r="F5">
            <v>310.7</v>
          </cell>
          <cell r="G5">
            <v>2.7</v>
          </cell>
          <cell r="H5">
            <v>27</v>
          </cell>
          <cell r="I5">
            <v>281</v>
          </cell>
          <cell r="J5">
            <v>392.9</v>
          </cell>
          <cell r="K5">
            <v>1</v>
          </cell>
          <cell r="L5">
            <v>1.7</v>
          </cell>
          <cell r="M5">
            <v>0.3</v>
          </cell>
          <cell r="N5">
            <v>26.7</v>
          </cell>
          <cell r="O5">
            <v>60.2</v>
          </cell>
          <cell r="P5">
            <v>16.3</v>
          </cell>
          <cell r="Q5">
            <v>0.6</v>
          </cell>
          <cell r="R5">
            <v>203.8</v>
          </cell>
          <cell r="S5">
            <v>0</v>
          </cell>
          <cell r="T5">
            <v>0</v>
          </cell>
          <cell r="U5">
            <v>21.8</v>
          </cell>
          <cell r="V5">
            <v>60.4</v>
          </cell>
          <cell r="W5">
            <v>98</v>
          </cell>
          <cell r="X5">
            <v>0</v>
          </cell>
          <cell r="Y5">
            <v>0</v>
          </cell>
          <cell r="Z5">
            <v>0</v>
          </cell>
        </row>
        <row r="6">
          <cell r="A6">
            <v>43005</v>
          </cell>
          <cell r="B6">
            <v>5</v>
          </cell>
          <cell r="C6">
            <v>543.4</v>
          </cell>
          <cell r="D6">
            <v>1508.8</v>
          </cell>
          <cell r="E6">
            <v>2.78</v>
          </cell>
          <cell r="F6">
            <v>135</v>
          </cell>
          <cell r="G6">
            <v>0</v>
          </cell>
          <cell r="H6">
            <v>19.2</v>
          </cell>
          <cell r="I6">
            <v>115.8</v>
          </cell>
          <cell r="J6">
            <v>214</v>
          </cell>
          <cell r="K6">
            <v>0</v>
          </cell>
          <cell r="L6">
            <v>0</v>
          </cell>
          <cell r="M6">
            <v>16.100000000000001</v>
          </cell>
          <cell r="N6">
            <v>3.1</v>
          </cell>
          <cell r="O6">
            <v>73.5</v>
          </cell>
          <cell r="P6">
            <v>0</v>
          </cell>
          <cell r="Q6">
            <v>0</v>
          </cell>
          <cell r="R6">
            <v>42.3</v>
          </cell>
          <cell r="S6">
            <v>0</v>
          </cell>
          <cell r="T6">
            <v>0</v>
          </cell>
          <cell r="U6">
            <v>11.4</v>
          </cell>
          <cell r="V6">
            <v>67.5</v>
          </cell>
          <cell r="W6">
            <v>92</v>
          </cell>
          <cell r="X6">
            <v>0</v>
          </cell>
          <cell r="Y6">
            <v>0</v>
          </cell>
          <cell r="Z6">
            <v>0</v>
          </cell>
        </row>
        <row r="7">
          <cell r="A7">
            <v>43006</v>
          </cell>
          <cell r="B7">
            <v>6</v>
          </cell>
          <cell r="C7">
            <v>10</v>
          </cell>
          <cell r="D7">
            <v>24.1</v>
          </cell>
          <cell r="E7">
            <v>2.41</v>
          </cell>
          <cell r="F7">
            <v>348.5</v>
          </cell>
          <cell r="G7">
            <v>30.1</v>
          </cell>
          <cell r="H7">
            <v>97.7</v>
          </cell>
          <cell r="I7">
            <v>220.6</v>
          </cell>
          <cell r="J7">
            <v>350.7</v>
          </cell>
          <cell r="K7">
            <v>23.5</v>
          </cell>
          <cell r="L7">
            <v>6.7</v>
          </cell>
          <cell r="M7">
            <v>1.3</v>
          </cell>
          <cell r="N7">
            <v>96.4</v>
          </cell>
          <cell r="O7">
            <v>42.4</v>
          </cell>
          <cell r="P7">
            <v>103.2</v>
          </cell>
          <cell r="Q7">
            <v>32.700000000000003</v>
          </cell>
          <cell r="R7">
            <v>42.3</v>
          </cell>
          <cell r="S7">
            <v>0</v>
          </cell>
          <cell r="T7">
            <v>0</v>
          </cell>
          <cell r="U7">
            <v>1</v>
          </cell>
          <cell r="V7">
            <v>1.2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</row>
        <row r="8">
          <cell r="A8">
            <v>43007</v>
          </cell>
          <cell r="B8">
            <v>7</v>
          </cell>
          <cell r="C8">
            <v>36.9</v>
          </cell>
          <cell r="D8">
            <v>89.3</v>
          </cell>
          <cell r="E8">
            <v>2.42</v>
          </cell>
          <cell r="F8">
            <v>11.7</v>
          </cell>
          <cell r="G8">
            <v>2.6</v>
          </cell>
          <cell r="H8">
            <v>0.8</v>
          </cell>
          <cell r="I8">
            <v>8.4</v>
          </cell>
          <cell r="J8">
            <v>49.6</v>
          </cell>
          <cell r="K8">
            <v>0.8</v>
          </cell>
          <cell r="L8">
            <v>1.7</v>
          </cell>
          <cell r="M8">
            <v>0.3</v>
          </cell>
          <cell r="N8">
            <v>0.5</v>
          </cell>
          <cell r="O8">
            <v>1.9</v>
          </cell>
          <cell r="P8">
            <v>1</v>
          </cell>
          <cell r="Q8">
            <v>0.6</v>
          </cell>
          <cell r="R8">
            <v>4.8</v>
          </cell>
          <cell r="S8">
            <v>0</v>
          </cell>
          <cell r="T8">
            <v>0</v>
          </cell>
          <cell r="U8">
            <v>33.299999999999997</v>
          </cell>
          <cell r="V8">
            <v>4.5999999999999996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</row>
        <row r="9">
          <cell r="A9">
            <v>43008</v>
          </cell>
          <cell r="B9">
            <v>8</v>
          </cell>
          <cell r="C9">
            <v>0</v>
          </cell>
          <cell r="D9">
            <v>0</v>
          </cell>
          <cell r="E9">
            <v>0</v>
          </cell>
          <cell r="F9">
            <v>553.4</v>
          </cell>
          <cell r="G9">
            <v>18.100000000000001</v>
          </cell>
          <cell r="H9">
            <v>27.3</v>
          </cell>
          <cell r="I9">
            <v>508</v>
          </cell>
          <cell r="J9">
            <v>554.4</v>
          </cell>
          <cell r="K9">
            <v>15</v>
          </cell>
          <cell r="L9">
            <v>3.1</v>
          </cell>
          <cell r="M9">
            <v>12.9</v>
          </cell>
          <cell r="N9">
            <v>14.4</v>
          </cell>
          <cell r="O9">
            <v>348.5</v>
          </cell>
          <cell r="P9">
            <v>2</v>
          </cell>
          <cell r="Q9">
            <v>37.6</v>
          </cell>
          <cell r="R9">
            <v>119.9</v>
          </cell>
          <cell r="S9">
            <v>0</v>
          </cell>
          <cell r="T9">
            <v>0</v>
          </cell>
          <cell r="U9">
            <v>1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</row>
        <row r="10">
          <cell r="A10">
            <v>43009</v>
          </cell>
          <cell r="B10">
            <v>9</v>
          </cell>
          <cell r="C10">
            <v>654.29999999999995</v>
          </cell>
          <cell r="D10">
            <v>1712.3</v>
          </cell>
          <cell r="E10">
            <v>2.62</v>
          </cell>
          <cell r="F10">
            <v>210.7</v>
          </cell>
          <cell r="G10">
            <v>6.8</v>
          </cell>
          <cell r="H10">
            <v>94.2</v>
          </cell>
          <cell r="I10">
            <v>109.7</v>
          </cell>
          <cell r="J10">
            <v>327.3</v>
          </cell>
          <cell r="K10">
            <v>1.2</v>
          </cell>
          <cell r="L10">
            <v>5.6</v>
          </cell>
          <cell r="M10">
            <v>0.6</v>
          </cell>
          <cell r="N10">
            <v>93.6</v>
          </cell>
          <cell r="O10">
            <v>19</v>
          </cell>
          <cell r="P10">
            <v>1.4</v>
          </cell>
          <cell r="Q10">
            <v>15.7</v>
          </cell>
          <cell r="R10">
            <v>73.5</v>
          </cell>
          <cell r="S10">
            <v>0</v>
          </cell>
          <cell r="T10">
            <v>0</v>
          </cell>
          <cell r="U10">
            <v>35.299999999999997</v>
          </cell>
          <cell r="V10">
            <v>81.3</v>
          </cell>
          <cell r="W10">
            <v>120</v>
          </cell>
          <cell r="X10">
            <v>0</v>
          </cell>
          <cell r="Y10">
            <v>0</v>
          </cell>
          <cell r="Z10">
            <v>0</v>
          </cell>
        </row>
        <row r="11">
          <cell r="A11">
            <v>43010</v>
          </cell>
          <cell r="B11">
            <v>10</v>
          </cell>
          <cell r="C11">
            <v>745.7</v>
          </cell>
          <cell r="D11">
            <v>1541.9</v>
          </cell>
          <cell r="E11">
            <v>2.0699999999999998</v>
          </cell>
          <cell r="F11">
            <v>183.4</v>
          </cell>
          <cell r="G11">
            <v>31.8</v>
          </cell>
          <cell r="H11">
            <v>9.9</v>
          </cell>
          <cell r="I11">
            <v>141.69999999999999</v>
          </cell>
          <cell r="J11">
            <v>280.2</v>
          </cell>
          <cell r="K11">
            <v>0</v>
          </cell>
          <cell r="L11">
            <v>31.8</v>
          </cell>
          <cell r="M11">
            <v>0.3</v>
          </cell>
          <cell r="N11">
            <v>9.6</v>
          </cell>
          <cell r="O11">
            <v>39.299999999999997</v>
          </cell>
          <cell r="P11">
            <v>1.2</v>
          </cell>
          <cell r="Q11">
            <v>6</v>
          </cell>
          <cell r="R11">
            <v>95.2</v>
          </cell>
          <cell r="S11">
            <v>0</v>
          </cell>
          <cell r="T11">
            <v>0</v>
          </cell>
          <cell r="U11">
            <v>4.2</v>
          </cell>
          <cell r="V11">
            <v>92.6</v>
          </cell>
          <cell r="W11">
            <v>79</v>
          </cell>
          <cell r="X11">
            <v>0</v>
          </cell>
          <cell r="Y11">
            <v>0</v>
          </cell>
          <cell r="Z11">
            <v>0</v>
          </cell>
        </row>
        <row r="12">
          <cell r="A12">
            <v>43011</v>
          </cell>
          <cell r="B12">
            <v>11</v>
          </cell>
          <cell r="C12">
            <v>62.5</v>
          </cell>
          <cell r="D12">
            <v>204.6</v>
          </cell>
          <cell r="E12">
            <v>3.27</v>
          </cell>
          <cell r="F12">
            <v>3.5</v>
          </cell>
          <cell r="G12">
            <v>0</v>
          </cell>
          <cell r="H12">
            <v>0</v>
          </cell>
          <cell r="I12">
            <v>3.5</v>
          </cell>
          <cell r="J12">
            <v>16.5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1.9</v>
          </cell>
          <cell r="P12">
            <v>0</v>
          </cell>
          <cell r="Q12">
            <v>0</v>
          </cell>
          <cell r="R12">
            <v>1.7</v>
          </cell>
          <cell r="S12">
            <v>0</v>
          </cell>
          <cell r="T12">
            <v>0</v>
          </cell>
          <cell r="U12">
            <v>5.2</v>
          </cell>
          <cell r="V12">
            <v>7.8</v>
          </cell>
          <cell r="W12">
            <v>64</v>
          </cell>
          <cell r="X12">
            <v>0</v>
          </cell>
          <cell r="Y12">
            <v>0</v>
          </cell>
          <cell r="Z12">
            <v>0</v>
          </cell>
        </row>
        <row r="13">
          <cell r="A13">
            <v>43012</v>
          </cell>
          <cell r="B13">
            <v>12</v>
          </cell>
          <cell r="C13">
            <v>23.3</v>
          </cell>
          <cell r="D13">
            <v>37.200000000000003</v>
          </cell>
          <cell r="E13">
            <v>1.59</v>
          </cell>
          <cell r="F13">
            <v>5.3</v>
          </cell>
          <cell r="G13">
            <v>0</v>
          </cell>
          <cell r="H13">
            <v>0</v>
          </cell>
          <cell r="I13">
            <v>5.2</v>
          </cell>
          <cell r="J13">
            <v>9.1999999999999993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3.7</v>
          </cell>
          <cell r="P13">
            <v>0</v>
          </cell>
          <cell r="Q13">
            <v>0</v>
          </cell>
          <cell r="R13">
            <v>1.5</v>
          </cell>
          <cell r="S13">
            <v>0</v>
          </cell>
          <cell r="T13">
            <v>0</v>
          </cell>
          <cell r="U13">
            <v>1</v>
          </cell>
          <cell r="V13">
            <v>2.9</v>
          </cell>
          <cell r="W13">
            <v>12</v>
          </cell>
          <cell r="X13">
            <v>0</v>
          </cell>
          <cell r="Y13">
            <v>0</v>
          </cell>
          <cell r="Z13">
            <v>0</v>
          </cell>
        </row>
        <row r="14">
          <cell r="A14">
            <v>43013</v>
          </cell>
          <cell r="B14">
            <v>13</v>
          </cell>
          <cell r="C14">
            <v>60.2</v>
          </cell>
          <cell r="D14">
            <v>148.19999999999999</v>
          </cell>
          <cell r="E14">
            <v>2.46</v>
          </cell>
          <cell r="F14">
            <v>1.8</v>
          </cell>
          <cell r="G14">
            <v>0</v>
          </cell>
          <cell r="H14">
            <v>0</v>
          </cell>
          <cell r="I14">
            <v>1.8</v>
          </cell>
          <cell r="J14">
            <v>10.4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1.8</v>
          </cell>
          <cell r="S14">
            <v>0</v>
          </cell>
          <cell r="T14">
            <v>0</v>
          </cell>
          <cell r="U14">
            <v>1</v>
          </cell>
          <cell r="V14">
            <v>7.5</v>
          </cell>
          <cell r="W14">
            <v>10</v>
          </cell>
          <cell r="X14">
            <v>0</v>
          </cell>
          <cell r="Y14">
            <v>0</v>
          </cell>
          <cell r="Z14">
            <v>0</v>
          </cell>
        </row>
        <row r="15">
          <cell r="A15">
            <v>43014</v>
          </cell>
          <cell r="B15">
            <v>14</v>
          </cell>
          <cell r="C15">
            <v>31.1</v>
          </cell>
          <cell r="D15">
            <v>137.1</v>
          </cell>
          <cell r="E15">
            <v>4.4000000000000004</v>
          </cell>
          <cell r="F15">
            <v>56.2</v>
          </cell>
          <cell r="G15">
            <v>0.4</v>
          </cell>
          <cell r="H15">
            <v>1.9</v>
          </cell>
          <cell r="I15">
            <v>53.9</v>
          </cell>
          <cell r="J15">
            <v>63.2</v>
          </cell>
          <cell r="K15">
            <v>0.2</v>
          </cell>
          <cell r="L15">
            <v>0.2</v>
          </cell>
          <cell r="M15">
            <v>0</v>
          </cell>
          <cell r="N15">
            <v>1.9</v>
          </cell>
          <cell r="O15">
            <v>0.3</v>
          </cell>
          <cell r="P15">
            <v>0.2</v>
          </cell>
          <cell r="Q15">
            <v>0.1</v>
          </cell>
          <cell r="R15">
            <v>53.3</v>
          </cell>
          <cell r="S15">
            <v>0</v>
          </cell>
          <cell r="T15">
            <v>0</v>
          </cell>
          <cell r="U15">
            <v>3.1</v>
          </cell>
          <cell r="V15">
            <v>3.9</v>
          </cell>
          <cell r="W15">
            <v>11</v>
          </cell>
          <cell r="X15">
            <v>0</v>
          </cell>
          <cell r="Y15">
            <v>0</v>
          </cell>
          <cell r="Z15">
            <v>0</v>
          </cell>
        </row>
        <row r="16">
          <cell r="A16">
            <v>43015</v>
          </cell>
          <cell r="B16">
            <v>15</v>
          </cell>
          <cell r="C16">
            <v>39.5</v>
          </cell>
          <cell r="D16">
            <v>109</v>
          </cell>
          <cell r="E16">
            <v>2.76</v>
          </cell>
          <cell r="F16">
            <v>3.8</v>
          </cell>
          <cell r="G16">
            <v>0</v>
          </cell>
          <cell r="H16">
            <v>3.6</v>
          </cell>
          <cell r="I16">
            <v>0.1</v>
          </cell>
          <cell r="J16">
            <v>8.6999999999999993</v>
          </cell>
          <cell r="K16">
            <v>0</v>
          </cell>
          <cell r="L16">
            <v>0</v>
          </cell>
          <cell r="M16">
            <v>0</v>
          </cell>
          <cell r="N16">
            <v>3.6</v>
          </cell>
          <cell r="O16">
            <v>0</v>
          </cell>
          <cell r="P16">
            <v>0</v>
          </cell>
          <cell r="Q16">
            <v>0</v>
          </cell>
          <cell r="R16">
            <v>0.1</v>
          </cell>
          <cell r="S16">
            <v>0</v>
          </cell>
          <cell r="T16">
            <v>0</v>
          </cell>
          <cell r="U16">
            <v>0</v>
          </cell>
          <cell r="V16">
            <v>4.9000000000000004</v>
          </cell>
          <cell r="W16">
            <v>12</v>
          </cell>
          <cell r="X16">
            <v>0</v>
          </cell>
          <cell r="Y16">
            <v>0</v>
          </cell>
          <cell r="Z16">
            <v>0</v>
          </cell>
        </row>
        <row r="17">
          <cell r="A17">
            <v>43016</v>
          </cell>
          <cell r="B17">
            <v>16</v>
          </cell>
          <cell r="C17">
            <v>72.8</v>
          </cell>
          <cell r="D17">
            <v>196.5</v>
          </cell>
          <cell r="E17">
            <v>2.7</v>
          </cell>
          <cell r="F17">
            <v>30.8</v>
          </cell>
          <cell r="G17">
            <v>0.2</v>
          </cell>
          <cell r="H17">
            <v>8.6999999999999993</v>
          </cell>
          <cell r="I17">
            <v>21.9</v>
          </cell>
          <cell r="J17">
            <v>41.9</v>
          </cell>
          <cell r="K17">
            <v>0.1</v>
          </cell>
          <cell r="L17">
            <v>0.1</v>
          </cell>
          <cell r="M17">
            <v>0</v>
          </cell>
          <cell r="N17">
            <v>8.6999999999999993</v>
          </cell>
          <cell r="O17">
            <v>7.4</v>
          </cell>
          <cell r="P17">
            <v>0.1</v>
          </cell>
          <cell r="Q17">
            <v>0.8</v>
          </cell>
          <cell r="R17">
            <v>13.6</v>
          </cell>
          <cell r="S17">
            <v>0</v>
          </cell>
          <cell r="T17">
            <v>0</v>
          </cell>
          <cell r="U17">
            <v>2.1</v>
          </cell>
          <cell r="V17">
            <v>9</v>
          </cell>
          <cell r="W17">
            <v>17</v>
          </cell>
          <cell r="X17">
            <v>0</v>
          </cell>
          <cell r="Y17">
            <v>0</v>
          </cell>
          <cell r="Z17">
            <v>0</v>
          </cell>
        </row>
        <row r="18">
          <cell r="A18">
            <v>43017</v>
          </cell>
          <cell r="B18">
            <v>17</v>
          </cell>
          <cell r="C18">
            <v>66.400000000000006</v>
          </cell>
          <cell r="D18">
            <v>118.6</v>
          </cell>
          <cell r="E18">
            <v>1.79</v>
          </cell>
          <cell r="F18">
            <v>349.8</v>
          </cell>
          <cell r="G18">
            <v>2.8</v>
          </cell>
          <cell r="H18">
            <v>2.6</v>
          </cell>
          <cell r="I18">
            <v>344.4</v>
          </cell>
          <cell r="J18">
            <v>362.2</v>
          </cell>
          <cell r="K18">
            <v>1</v>
          </cell>
          <cell r="L18">
            <v>1.8</v>
          </cell>
          <cell r="M18">
            <v>2.1</v>
          </cell>
          <cell r="N18">
            <v>0.5</v>
          </cell>
          <cell r="O18">
            <v>39.5</v>
          </cell>
          <cell r="P18">
            <v>1.2</v>
          </cell>
          <cell r="Q18">
            <v>0.7</v>
          </cell>
          <cell r="R18">
            <v>303.10000000000002</v>
          </cell>
          <cell r="S18">
            <v>0</v>
          </cell>
          <cell r="T18">
            <v>0</v>
          </cell>
          <cell r="U18">
            <v>4.2</v>
          </cell>
          <cell r="V18">
            <v>8.3000000000000007</v>
          </cell>
          <cell r="W18">
            <v>76</v>
          </cell>
          <cell r="X18">
            <v>0</v>
          </cell>
          <cell r="Y18">
            <v>0</v>
          </cell>
          <cell r="Z18">
            <v>0</v>
          </cell>
        </row>
        <row r="19">
          <cell r="A19">
            <v>43018</v>
          </cell>
          <cell r="B19">
            <v>18</v>
          </cell>
          <cell r="C19">
            <v>79.400000000000006</v>
          </cell>
          <cell r="D19">
            <v>308.2</v>
          </cell>
          <cell r="E19">
            <v>3.88</v>
          </cell>
          <cell r="F19">
            <v>61.9</v>
          </cell>
          <cell r="G19">
            <v>5.9</v>
          </cell>
          <cell r="H19">
            <v>1.8</v>
          </cell>
          <cell r="I19">
            <v>54.2</v>
          </cell>
          <cell r="J19">
            <v>84.2</v>
          </cell>
          <cell r="K19">
            <v>2.1</v>
          </cell>
          <cell r="L19">
            <v>3.8</v>
          </cell>
          <cell r="M19">
            <v>0.8</v>
          </cell>
          <cell r="N19">
            <v>1.1000000000000001</v>
          </cell>
          <cell r="O19">
            <v>18</v>
          </cell>
          <cell r="P19">
            <v>2.4</v>
          </cell>
          <cell r="Q19">
            <v>1.4</v>
          </cell>
          <cell r="R19">
            <v>32.299999999999997</v>
          </cell>
          <cell r="S19">
            <v>0</v>
          </cell>
          <cell r="T19">
            <v>0</v>
          </cell>
          <cell r="U19">
            <v>12.5</v>
          </cell>
          <cell r="V19">
            <v>9.9</v>
          </cell>
          <cell r="W19">
            <v>17</v>
          </cell>
          <cell r="X19">
            <v>0</v>
          </cell>
          <cell r="Y19">
            <v>0</v>
          </cell>
          <cell r="Z19">
            <v>0</v>
          </cell>
        </row>
        <row r="20">
          <cell r="A20">
            <v>43019</v>
          </cell>
          <cell r="B20">
            <v>19</v>
          </cell>
          <cell r="C20">
            <v>114.4</v>
          </cell>
          <cell r="D20">
            <v>374.4</v>
          </cell>
          <cell r="E20">
            <v>3.27</v>
          </cell>
          <cell r="F20">
            <v>160.6</v>
          </cell>
          <cell r="G20">
            <v>13.6</v>
          </cell>
          <cell r="H20">
            <v>16</v>
          </cell>
          <cell r="I20">
            <v>131</v>
          </cell>
          <cell r="J20">
            <v>175.9</v>
          </cell>
          <cell r="K20">
            <v>5.8</v>
          </cell>
          <cell r="L20">
            <v>7.8</v>
          </cell>
          <cell r="M20">
            <v>0.8</v>
          </cell>
          <cell r="N20">
            <v>15.2</v>
          </cell>
          <cell r="O20">
            <v>4.2</v>
          </cell>
          <cell r="P20">
            <v>2.5</v>
          </cell>
          <cell r="Q20">
            <v>23.8</v>
          </cell>
          <cell r="R20">
            <v>100.5</v>
          </cell>
          <cell r="S20">
            <v>0</v>
          </cell>
          <cell r="T20">
            <v>0</v>
          </cell>
          <cell r="U20">
            <v>1</v>
          </cell>
          <cell r="V20">
            <v>14.2</v>
          </cell>
          <cell r="W20">
            <v>20</v>
          </cell>
          <cell r="X20">
            <v>0</v>
          </cell>
          <cell r="Y20">
            <v>0</v>
          </cell>
          <cell r="Z20">
            <v>0</v>
          </cell>
        </row>
        <row r="21">
          <cell r="A21">
            <v>43020</v>
          </cell>
          <cell r="B21">
            <v>20</v>
          </cell>
          <cell r="C21">
            <v>0</v>
          </cell>
          <cell r="D21">
            <v>0</v>
          </cell>
          <cell r="E21">
            <v>0</v>
          </cell>
          <cell r="F21">
            <v>88.3</v>
          </cell>
          <cell r="G21">
            <v>31.8</v>
          </cell>
          <cell r="H21">
            <v>1</v>
          </cell>
          <cell r="I21">
            <v>55.6</v>
          </cell>
          <cell r="J21">
            <v>88.3</v>
          </cell>
          <cell r="K21">
            <v>28.8</v>
          </cell>
          <cell r="L21">
            <v>3</v>
          </cell>
          <cell r="M21">
            <v>0.4</v>
          </cell>
          <cell r="N21">
            <v>0.6</v>
          </cell>
          <cell r="O21">
            <v>47.6</v>
          </cell>
          <cell r="P21">
            <v>1.3</v>
          </cell>
          <cell r="Q21">
            <v>0.8</v>
          </cell>
          <cell r="R21">
            <v>5.9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</row>
        <row r="22">
          <cell r="A22">
            <v>43021</v>
          </cell>
          <cell r="B22">
            <v>21</v>
          </cell>
          <cell r="C22">
            <v>86</v>
          </cell>
          <cell r="D22">
            <v>274.7</v>
          </cell>
          <cell r="E22">
            <v>3.19</v>
          </cell>
          <cell r="F22">
            <v>66.400000000000006</v>
          </cell>
          <cell r="G22">
            <v>7.5</v>
          </cell>
          <cell r="H22">
            <v>2.7</v>
          </cell>
          <cell r="I22">
            <v>56.2</v>
          </cell>
          <cell r="J22">
            <v>78.2</v>
          </cell>
          <cell r="K22">
            <v>7.1</v>
          </cell>
          <cell r="L22">
            <v>0.4</v>
          </cell>
          <cell r="M22">
            <v>0.1</v>
          </cell>
          <cell r="N22">
            <v>2.7</v>
          </cell>
          <cell r="O22">
            <v>0.4</v>
          </cell>
          <cell r="P22">
            <v>0.2</v>
          </cell>
          <cell r="Q22">
            <v>54.5</v>
          </cell>
          <cell r="R22">
            <v>1</v>
          </cell>
          <cell r="S22">
            <v>0</v>
          </cell>
          <cell r="T22">
            <v>0</v>
          </cell>
          <cell r="U22">
            <v>1</v>
          </cell>
          <cell r="V22">
            <v>10.7</v>
          </cell>
          <cell r="W22">
            <v>18</v>
          </cell>
          <cell r="X22">
            <v>0</v>
          </cell>
          <cell r="Y22">
            <v>0</v>
          </cell>
          <cell r="Z22">
            <v>0</v>
          </cell>
        </row>
        <row r="23">
          <cell r="A23">
            <v>43022</v>
          </cell>
          <cell r="B23">
            <v>22</v>
          </cell>
          <cell r="C23">
            <v>151.30000000000001</v>
          </cell>
          <cell r="D23">
            <v>265.60000000000002</v>
          </cell>
          <cell r="E23">
            <v>1.76</v>
          </cell>
          <cell r="F23">
            <v>53.5</v>
          </cell>
          <cell r="G23">
            <v>28.8</v>
          </cell>
          <cell r="H23">
            <v>3.2</v>
          </cell>
          <cell r="I23">
            <v>21.6</v>
          </cell>
          <cell r="J23">
            <v>74.400000000000006</v>
          </cell>
          <cell r="K23">
            <v>0.1</v>
          </cell>
          <cell r="L23">
            <v>28.7</v>
          </cell>
          <cell r="M23">
            <v>0</v>
          </cell>
          <cell r="N23">
            <v>3.1</v>
          </cell>
          <cell r="O23">
            <v>10.5</v>
          </cell>
          <cell r="P23">
            <v>2.2000000000000002</v>
          </cell>
          <cell r="Q23">
            <v>3</v>
          </cell>
          <cell r="R23">
            <v>6</v>
          </cell>
          <cell r="S23">
            <v>0</v>
          </cell>
          <cell r="T23">
            <v>0</v>
          </cell>
          <cell r="U23">
            <v>2.1</v>
          </cell>
          <cell r="V23">
            <v>18.8</v>
          </cell>
          <cell r="W23">
            <v>26</v>
          </cell>
          <cell r="X23">
            <v>0</v>
          </cell>
          <cell r="Y23">
            <v>0</v>
          </cell>
          <cell r="Z23">
            <v>0</v>
          </cell>
        </row>
        <row r="24">
          <cell r="A24">
            <v>43023</v>
          </cell>
          <cell r="B24">
            <v>23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</row>
        <row r="25">
          <cell r="A25">
            <v>43024</v>
          </cell>
          <cell r="B25">
            <v>24</v>
          </cell>
          <cell r="C25">
            <v>164.2</v>
          </cell>
          <cell r="D25">
            <v>299.7</v>
          </cell>
          <cell r="E25">
            <v>1.83</v>
          </cell>
          <cell r="F25">
            <v>3.4</v>
          </cell>
          <cell r="G25">
            <v>0</v>
          </cell>
          <cell r="H25">
            <v>0</v>
          </cell>
          <cell r="I25">
            <v>3.4</v>
          </cell>
          <cell r="J25">
            <v>32.200000000000003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3.4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8.3000000000000007</v>
          </cell>
          <cell r="V25">
            <v>20.399999999999999</v>
          </cell>
          <cell r="W25">
            <v>18</v>
          </cell>
          <cell r="X25">
            <v>0</v>
          </cell>
          <cell r="Y25">
            <v>0</v>
          </cell>
          <cell r="Z25">
            <v>0</v>
          </cell>
        </row>
        <row r="26">
          <cell r="A26">
            <v>43025</v>
          </cell>
          <cell r="B26">
            <v>25</v>
          </cell>
          <cell r="C26">
            <v>0</v>
          </cell>
          <cell r="D26">
            <v>0</v>
          </cell>
          <cell r="E26">
            <v>0</v>
          </cell>
          <cell r="F26">
            <v>798.3</v>
          </cell>
          <cell r="G26">
            <v>563.6</v>
          </cell>
          <cell r="H26">
            <v>22.9</v>
          </cell>
          <cell r="I26">
            <v>211.8</v>
          </cell>
          <cell r="J26">
            <v>806.6</v>
          </cell>
          <cell r="K26">
            <v>521.1</v>
          </cell>
          <cell r="L26">
            <v>42.6</v>
          </cell>
          <cell r="M26">
            <v>8.6</v>
          </cell>
          <cell r="N26">
            <v>14.3</v>
          </cell>
          <cell r="O26">
            <v>46.6</v>
          </cell>
          <cell r="P26">
            <v>27.5</v>
          </cell>
          <cell r="Q26">
            <v>15.9</v>
          </cell>
          <cell r="R26">
            <v>121.8</v>
          </cell>
          <cell r="S26">
            <v>0</v>
          </cell>
          <cell r="T26">
            <v>0</v>
          </cell>
          <cell r="U26">
            <v>8.3000000000000007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</row>
        <row r="27">
          <cell r="A27">
            <v>43026</v>
          </cell>
          <cell r="B27">
            <v>26</v>
          </cell>
          <cell r="C27">
            <v>19.399999999999999</v>
          </cell>
          <cell r="D27">
            <v>23.3</v>
          </cell>
          <cell r="E27">
            <v>1.2</v>
          </cell>
          <cell r="F27">
            <v>264.5</v>
          </cell>
          <cell r="G27">
            <v>180</v>
          </cell>
          <cell r="H27">
            <v>7.4</v>
          </cell>
          <cell r="I27">
            <v>77</v>
          </cell>
          <cell r="J27">
            <v>270</v>
          </cell>
          <cell r="K27">
            <v>119.5</v>
          </cell>
          <cell r="L27">
            <v>60.6</v>
          </cell>
          <cell r="M27">
            <v>3.1</v>
          </cell>
          <cell r="N27">
            <v>4.3</v>
          </cell>
          <cell r="O27">
            <v>16.899999999999999</v>
          </cell>
          <cell r="P27">
            <v>10</v>
          </cell>
          <cell r="Q27">
            <v>5.8</v>
          </cell>
          <cell r="R27">
            <v>44.3</v>
          </cell>
          <cell r="S27">
            <v>0</v>
          </cell>
          <cell r="T27">
            <v>0</v>
          </cell>
          <cell r="U27">
            <v>3.1</v>
          </cell>
          <cell r="V27">
            <v>2.4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</row>
        <row r="28">
          <cell r="A28">
            <v>43027</v>
          </cell>
          <cell r="B28">
            <v>27</v>
          </cell>
          <cell r="C28">
            <v>149.19999999999999</v>
          </cell>
          <cell r="D28">
            <v>280.3</v>
          </cell>
          <cell r="E28">
            <v>1.88</v>
          </cell>
          <cell r="F28">
            <v>15.3</v>
          </cell>
          <cell r="G28">
            <v>2.6</v>
          </cell>
          <cell r="H28">
            <v>0.8</v>
          </cell>
          <cell r="I28">
            <v>11.9</v>
          </cell>
          <cell r="J28">
            <v>34.799999999999997</v>
          </cell>
          <cell r="K28">
            <v>0.9</v>
          </cell>
          <cell r="L28">
            <v>1.7</v>
          </cell>
          <cell r="M28">
            <v>0.3</v>
          </cell>
          <cell r="N28">
            <v>0.5</v>
          </cell>
          <cell r="O28">
            <v>1.8</v>
          </cell>
          <cell r="P28">
            <v>1.1000000000000001</v>
          </cell>
          <cell r="Q28">
            <v>0.6</v>
          </cell>
          <cell r="R28">
            <v>8.4</v>
          </cell>
          <cell r="S28">
            <v>0</v>
          </cell>
          <cell r="T28">
            <v>0</v>
          </cell>
          <cell r="U28">
            <v>1</v>
          </cell>
          <cell r="V28">
            <v>18.5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</row>
        <row r="29">
          <cell r="A29">
            <v>43028</v>
          </cell>
          <cell r="B29">
            <v>28</v>
          </cell>
          <cell r="C29">
            <v>174.4</v>
          </cell>
          <cell r="D29">
            <v>419.7</v>
          </cell>
          <cell r="E29">
            <v>2.41</v>
          </cell>
          <cell r="F29">
            <v>372.4</v>
          </cell>
          <cell r="G29">
            <v>84.7</v>
          </cell>
          <cell r="H29">
            <v>25.1</v>
          </cell>
          <cell r="I29">
            <v>262.7</v>
          </cell>
          <cell r="J29">
            <v>799.6</v>
          </cell>
          <cell r="K29">
            <v>26.6</v>
          </cell>
          <cell r="L29">
            <v>58.1</v>
          </cell>
          <cell r="M29">
            <v>9.4</v>
          </cell>
          <cell r="N29">
            <v>15.7</v>
          </cell>
          <cell r="O29">
            <v>49.2</v>
          </cell>
          <cell r="P29">
            <v>67</v>
          </cell>
          <cell r="Q29">
            <v>17</v>
          </cell>
          <cell r="R29">
            <v>129.4</v>
          </cell>
          <cell r="S29">
            <v>0</v>
          </cell>
          <cell r="T29">
            <v>0</v>
          </cell>
          <cell r="U29">
            <v>405.5</v>
          </cell>
          <cell r="V29">
            <v>21.7</v>
          </cell>
          <cell r="W29">
            <v>0</v>
          </cell>
          <cell r="X29">
            <v>0</v>
          </cell>
          <cell r="Y29">
            <v>0</v>
          </cell>
          <cell r="Z29">
            <v>130</v>
          </cell>
        </row>
        <row r="30">
          <cell r="A30">
            <v>43029</v>
          </cell>
          <cell r="B30">
            <v>29</v>
          </cell>
          <cell r="C30">
            <v>0</v>
          </cell>
          <cell r="D30">
            <v>0</v>
          </cell>
          <cell r="E30">
            <v>0</v>
          </cell>
          <cell r="F30">
            <v>326.8</v>
          </cell>
          <cell r="G30">
            <v>204.4</v>
          </cell>
          <cell r="H30">
            <v>10.8</v>
          </cell>
          <cell r="I30">
            <v>111.6</v>
          </cell>
          <cell r="J30">
            <v>330.9</v>
          </cell>
          <cell r="K30">
            <v>155.19999999999999</v>
          </cell>
          <cell r="L30">
            <v>49.2</v>
          </cell>
          <cell r="M30">
            <v>4.5</v>
          </cell>
          <cell r="N30">
            <v>6.3</v>
          </cell>
          <cell r="O30">
            <v>24.5</v>
          </cell>
          <cell r="P30">
            <v>14.5</v>
          </cell>
          <cell r="Q30">
            <v>8.4</v>
          </cell>
          <cell r="R30">
            <v>64.2</v>
          </cell>
          <cell r="S30">
            <v>0</v>
          </cell>
          <cell r="T30">
            <v>0</v>
          </cell>
          <cell r="U30">
            <v>4.2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81</v>
          </cell>
        </row>
        <row r="31">
          <cell r="A31">
            <v>43030</v>
          </cell>
          <cell r="B31">
            <v>30</v>
          </cell>
          <cell r="C31">
            <v>0</v>
          </cell>
          <cell r="D31">
            <v>0</v>
          </cell>
          <cell r="E31">
            <v>0</v>
          </cell>
          <cell r="F31">
            <v>407.3</v>
          </cell>
          <cell r="G31">
            <v>244.6</v>
          </cell>
          <cell r="H31">
            <v>15.7</v>
          </cell>
          <cell r="I31">
            <v>147.1</v>
          </cell>
          <cell r="J31">
            <v>410.5</v>
          </cell>
          <cell r="K31">
            <v>69.2</v>
          </cell>
          <cell r="L31">
            <v>175.4</v>
          </cell>
          <cell r="M31">
            <v>4.0999999999999996</v>
          </cell>
          <cell r="N31">
            <v>11.6</v>
          </cell>
          <cell r="O31">
            <v>22.1</v>
          </cell>
          <cell r="P31">
            <v>13.1</v>
          </cell>
          <cell r="Q31">
            <v>12.8</v>
          </cell>
          <cell r="R31">
            <v>99.1</v>
          </cell>
          <cell r="S31">
            <v>0</v>
          </cell>
          <cell r="T31">
            <v>0</v>
          </cell>
          <cell r="U31">
            <v>3.1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105</v>
          </cell>
        </row>
        <row r="32">
          <cell r="A32">
            <v>43031</v>
          </cell>
          <cell r="B32">
            <v>31</v>
          </cell>
          <cell r="C32">
            <v>0</v>
          </cell>
          <cell r="D32">
            <v>0</v>
          </cell>
          <cell r="E32">
            <v>0</v>
          </cell>
          <cell r="F32">
            <v>417.9</v>
          </cell>
          <cell r="G32">
            <v>59.9</v>
          </cell>
          <cell r="H32">
            <v>24.5</v>
          </cell>
          <cell r="I32">
            <v>333.4</v>
          </cell>
          <cell r="J32">
            <v>418.9</v>
          </cell>
          <cell r="K32">
            <v>1.3</v>
          </cell>
          <cell r="L32">
            <v>58.6</v>
          </cell>
          <cell r="M32">
            <v>0.5</v>
          </cell>
          <cell r="N32">
            <v>24.1</v>
          </cell>
          <cell r="O32">
            <v>123.1</v>
          </cell>
          <cell r="P32">
            <v>1.5</v>
          </cell>
          <cell r="Q32">
            <v>29.5</v>
          </cell>
          <cell r="R32">
            <v>179.4</v>
          </cell>
          <cell r="S32">
            <v>0</v>
          </cell>
          <cell r="T32">
            <v>0</v>
          </cell>
          <cell r="U32">
            <v>1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</row>
        <row r="33">
          <cell r="A33">
            <v>43032</v>
          </cell>
          <cell r="B33">
            <v>32</v>
          </cell>
          <cell r="C33">
            <v>0</v>
          </cell>
          <cell r="D33">
            <v>0</v>
          </cell>
          <cell r="E33">
            <v>0</v>
          </cell>
          <cell r="F33">
            <v>1257.2</v>
          </cell>
          <cell r="G33">
            <v>138.19999999999999</v>
          </cell>
          <cell r="H33">
            <v>2.4</v>
          </cell>
          <cell r="I33">
            <v>1116.5999999999999</v>
          </cell>
          <cell r="J33">
            <v>1258.2</v>
          </cell>
          <cell r="K33">
            <v>13.8</v>
          </cell>
          <cell r="L33">
            <v>124.4</v>
          </cell>
          <cell r="M33">
            <v>1</v>
          </cell>
          <cell r="N33">
            <v>1.4</v>
          </cell>
          <cell r="O33">
            <v>186.7</v>
          </cell>
          <cell r="P33">
            <v>3.2</v>
          </cell>
          <cell r="Q33">
            <v>241.9</v>
          </cell>
          <cell r="R33">
            <v>684.7</v>
          </cell>
          <cell r="S33">
            <v>0</v>
          </cell>
          <cell r="T33">
            <v>0</v>
          </cell>
          <cell r="U33">
            <v>1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</row>
        <row r="34">
          <cell r="A34">
            <v>43033</v>
          </cell>
          <cell r="B34">
            <v>33</v>
          </cell>
          <cell r="C34">
            <v>57.1</v>
          </cell>
          <cell r="D34">
            <v>157.9</v>
          </cell>
          <cell r="E34">
            <v>2.77</v>
          </cell>
          <cell r="F34">
            <v>1508.8</v>
          </cell>
          <cell r="G34">
            <v>554.9</v>
          </cell>
          <cell r="H34">
            <v>253.2</v>
          </cell>
          <cell r="I34">
            <v>700.6</v>
          </cell>
          <cell r="J34">
            <v>1546</v>
          </cell>
          <cell r="K34">
            <v>225.3</v>
          </cell>
          <cell r="L34">
            <v>329.7</v>
          </cell>
          <cell r="M34">
            <v>174.7</v>
          </cell>
          <cell r="N34">
            <v>78.5</v>
          </cell>
          <cell r="O34">
            <v>312.2</v>
          </cell>
          <cell r="P34">
            <v>54.5</v>
          </cell>
          <cell r="Q34">
            <v>44.8</v>
          </cell>
          <cell r="R34">
            <v>289.10000000000002</v>
          </cell>
          <cell r="S34">
            <v>0</v>
          </cell>
          <cell r="T34">
            <v>0</v>
          </cell>
          <cell r="U34">
            <v>30.1</v>
          </cell>
          <cell r="V34">
            <v>7.1</v>
          </cell>
          <cell r="W34">
            <v>0</v>
          </cell>
          <cell r="X34">
            <v>0</v>
          </cell>
          <cell r="Y34">
            <v>97</v>
          </cell>
          <cell r="Z34">
            <v>198</v>
          </cell>
        </row>
        <row r="35">
          <cell r="A35">
            <v>43034</v>
          </cell>
          <cell r="B35">
            <v>34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</row>
        <row r="36">
          <cell r="A36">
            <v>43035</v>
          </cell>
          <cell r="B36">
            <v>35</v>
          </cell>
          <cell r="C36">
            <v>157.30000000000001</v>
          </cell>
          <cell r="D36">
            <v>300.3</v>
          </cell>
          <cell r="E36">
            <v>1.91</v>
          </cell>
          <cell r="F36">
            <v>78.099999999999994</v>
          </cell>
          <cell r="G36">
            <v>0.6</v>
          </cell>
          <cell r="H36">
            <v>3.6</v>
          </cell>
          <cell r="I36">
            <v>73.8</v>
          </cell>
          <cell r="J36">
            <v>98.6</v>
          </cell>
          <cell r="K36">
            <v>0.2</v>
          </cell>
          <cell r="L36">
            <v>0.4</v>
          </cell>
          <cell r="M36">
            <v>0.1</v>
          </cell>
          <cell r="N36">
            <v>3.5</v>
          </cell>
          <cell r="O36">
            <v>43.3</v>
          </cell>
          <cell r="P36">
            <v>0.3</v>
          </cell>
          <cell r="Q36">
            <v>0.5</v>
          </cell>
          <cell r="R36">
            <v>29.8</v>
          </cell>
          <cell r="S36">
            <v>0</v>
          </cell>
          <cell r="T36">
            <v>0</v>
          </cell>
          <cell r="U36">
            <v>1</v>
          </cell>
          <cell r="V36">
            <v>19.5</v>
          </cell>
          <cell r="W36">
            <v>0</v>
          </cell>
          <cell r="X36">
            <v>0</v>
          </cell>
          <cell r="Y36">
            <v>272</v>
          </cell>
          <cell r="Z36">
            <v>0</v>
          </cell>
        </row>
        <row r="37">
          <cell r="A37">
            <v>43036</v>
          </cell>
          <cell r="B37">
            <v>36</v>
          </cell>
          <cell r="C37">
            <v>177.1</v>
          </cell>
          <cell r="D37">
            <v>264.2</v>
          </cell>
          <cell r="E37">
            <v>1.49</v>
          </cell>
          <cell r="F37">
            <v>1247.5999999999999</v>
          </cell>
          <cell r="G37">
            <v>610.79999999999995</v>
          </cell>
          <cell r="H37">
            <v>9.9</v>
          </cell>
          <cell r="I37">
            <v>626.9</v>
          </cell>
          <cell r="J37">
            <v>1282</v>
          </cell>
          <cell r="K37">
            <v>353.1</v>
          </cell>
          <cell r="L37">
            <v>257.7</v>
          </cell>
          <cell r="M37">
            <v>4.0999999999999996</v>
          </cell>
          <cell r="N37">
            <v>5.7</v>
          </cell>
          <cell r="O37">
            <v>184.5</v>
          </cell>
          <cell r="P37">
            <v>13.3</v>
          </cell>
          <cell r="Q37">
            <v>10.3</v>
          </cell>
          <cell r="R37">
            <v>418.7</v>
          </cell>
          <cell r="S37">
            <v>0</v>
          </cell>
          <cell r="T37">
            <v>0</v>
          </cell>
          <cell r="U37">
            <v>12.5</v>
          </cell>
          <cell r="V37">
            <v>22</v>
          </cell>
          <cell r="W37">
            <v>0</v>
          </cell>
          <cell r="X37">
            <v>0</v>
          </cell>
          <cell r="Y37">
            <v>217</v>
          </cell>
          <cell r="Z37">
            <v>0</v>
          </cell>
        </row>
        <row r="38">
          <cell r="A38">
            <v>43037</v>
          </cell>
          <cell r="B38">
            <v>37</v>
          </cell>
          <cell r="C38">
            <v>0</v>
          </cell>
          <cell r="D38">
            <v>0</v>
          </cell>
          <cell r="E38">
            <v>0</v>
          </cell>
          <cell r="F38">
            <v>14.1</v>
          </cell>
          <cell r="G38">
            <v>0.1</v>
          </cell>
          <cell r="H38">
            <v>0</v>
          </cell>
          <cell r="I38">
            <v>14</v>
          </cell>
          <cell r="J38">
            <v>14.1</v>
          </cell>
          <cell r="K38">
            <v>0</v>
          </cell>
          <cell r="L38">
            <v>0.1</v>
          </cell>
          <cell r="M38">
            <v>0</v>
          </cell>
          <cell r="N38">
            <v>0</v>
          </cell>
          <cell r="O38">
            <v>0.1</v>
          </cell>
          <cell r="P38">
            <v>0</v>
          </cell>
          <cell r="Q38">
            <v>13.7</v>
          </cell>
          <cell r="R38">
            <v>0.2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</row>
        <row r="39">
          <cell r="A39">
            <v>43038</v>
          </cell>
          <cell r="B39">
            <v>38</v>
          </cell>
          <cell r="C39">
            <v>8.6999999999999993</v>
          </cell>
          <cell r="D39">
            <v>25.4</v>
          </cell>
          <cell r="E39">
            <v>2.93</v>
          </cell>
          <cell r="F39">
            <v>3.7</v>
          </cell>
          <cell r="G39">
            <v>0</v>
          </cell>
          <cell r="H39">
            <v>0</v>
          </cell>
          <cell r="I39">
            <v>3.6</v>
          </cell>
          <cell r="J39">
            <v>4.8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3.6</v>
          </cell>
          <cell r="S39">
            <v>0</v>
          </cell>
          <cell r="T39">
            <v>0</v>
          </cell>
          <cell r="U39">
            <v>0</v>
          </cell>
          <cell r="V39">
            <v>1.1000000000000001</v>
          </cell>
          <cell r="W39">
            <v>4</v>
          </cell>
          <cell r="X39">
            <v>0</v>
          </cell>
          <cell r="Y39">
            <v>0</v>
          </cell>
          <cell r="Z39">
            <v>0</v>
          </cell>
        </row>
        <row r="40">
          <cell r="A40">
            <v>43039</v>
          </cell>
          <cell r="B40">
            <v>39</v>
          </cell>
          <cell r="C40">
            <v>0</v>
          </cell>
          <cell r="D40">
            <v>0</v>
          </cell>
          <cell r="E40">
            <v>0</v>
          </cell>
          <cell r="F40">
            <v>548.1</v>
          </cell>
          <cell r="G40">
            <v>18.899999999999999</v>
          </cell>
          <cell r="H40">
            <v>5.8</v>
          </cell>
          <cell r="I40">
            <v>523.4</v>
          </cell>
          <cell r="J40">
            <v>551.20000000000005</v>
          </cell>
          <cell r="K40">
            <v>6.8</v>
          </cell>
          <cell r="L40">
            <v>12.1</v>
          </cell>
          <cell r="M40">
            <v>2.4</v>
          </cell>
          <cell r="N40">
            <v>3.4</v>
          </cell>
          <cell r="O40">
            <v>13.2</v>
          </cell>
          <cell r="P40">
            <v>94.3</v>
          </cell>
          <cell r="Q40">
            <v>4.5</v>
          </cell>
          <cell r="R40">
            <v>411.3</v>
          </cell>
          <cell r="S40">
            <v>0</v>
          </cell>
          <cell r="T40">
            <v>0</v>
          </cell>
          <cell r="U40">
            <v>3.1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</row>
        <row r="41">
          <cell r="A41">
            <v>43040</v>
          </cell>
          <cell r="B41">
            <v>40</v>
          </cell>
          <cell r="C41">
            <v>212.2</v>
          </cell>
          <cell r="D41">
            <v>538.79999999999995</v>
          </cell>
          <cell r="E41">
            <v>2.54</v>
          </cell>
          <cell r="F41">
            <v>429.7</v>
          </cell>
          <cell r="G41">
            <v>40.200000000000003</v>
          </cell>
          <cell r="H41">
            <v>5</v>
          </cell>
          <cell r="I41">
            <v>384.4</v>
          </cell>
          <cell r="J41">
            <v>499.7</v>
          </cell>
          <cell r="K41">
            <v>20.5</v>
          </cell>
          <cell r="L41">
            <v>19.8</v>
          </cell>
          <cell r="M41">
            <v>0.5</v>
          </cell>
          <cell r="N41">
            <v>4.5</v>
          </cell>
          <cell r="O41">
            <v>68.2</v>
          </cell>
          <cell r="P41">
            <v>1.6</v>
          </cell>
          <cell r="Q41">
            <v>67.099999999999994</v>
          </cell>
          <cell r="R41">
            <v>247.5</v>
          </cell>
          <cell r="S41">
            <v>0</v>
          </cell>
          <cell r="T41">
            <v>0</v>
          </cell>
          <cell r="U41">
            <v>43.7</v>
          </cell>
          <cell r="V41">
            <v>26.4</v>
          </cell>
          <cell r="W41">
            <v>109</v>
          </cell>
          <cell r="X41">
            <v>0</v>
          </cell>
          <cell r="Y41">
            <v>123</v>
          </cell>
          <cell r="Z41">
            <v>0</v>
          </cell>
        </row>
        <row r="42">
          <cell r="A42">
            <v>43041</v>
          </cell>
          <cell r="B42">
            <v>41</v>
          </cell>
          <cell r="C42">
            <v>539.4</v>
          </cell>
          <cell r="D42">
            <v>1394.3</v>
          </cell>
          <cell r="E42">
            <v>2.58</v>
          </cell>
          <cell r="F42">
            <v>1017.7</v>
          </cell>
          <cell r="G42">
            <v>20.8</v>
          </cell>
          <cell r="H42">
            <v>96.4</v>
          </cell>
          <cell r="I42">
            <v>900.5</v>
          </cell>
          <cell r="J42">
            <v>1115.9000000000001</v>
          </cell>
          <cell r="K42">
            <v>16.7</v>
          </cell>
          <cell r="L42">
            <v>4</v>
          </cell>
          <cell r="M42">
            <v>0.8</v>
          </cell>
          <cell r="N42">
            <v>95.6</v>
          </cell>
          <cell r="O42">
            <v>185.2</v>
          </cell>
          <cell r="P42">
            <v>295.8</v>
          </cell>
          <cell r="Q42">
            <v>28.5</v>
          </cell>
          <cell r="R42">
            <v>391</v>
          </cell>
          <cell r="S42">
            <v>0</v>
          </cell>
          <cell r="T42">
            <v>0</v>
          </cell>
          <cell r="U42">
            <v>31.2</v>
          </cell>
          <cell r="V42">
            <v>67</v>
          </cell>
          <cell r="W42">
            <v>100</v>
          </cell>
          <cell r="X42">
            <v>0</v>
          </cell>
          <cell r="Y42">
            <v>0</v>
          </cell>
          <cell r="Z42">
            <v>0</v>
          </cell>
        </row>
        <row r="43">
          <cell r="A43">
            <v>43042</v>
          </cell>
          <cell r="B43">
            <v>42</v>
          </cell>
          <cell r="C43">
            <v>107.8</v>
          </cell>
          <cell r="D43">
            <v>311.3</v>
          </cell>
          <cell r="E43">
            <v>2.89</v>
          </cell>
          <cell r="F43">
            <v>21.2</v>
          </cell>
          <cell r="G43">
            <v>1.4</v>
          </cell>
          <cell r="H43">
            <v>2</v>
          </cell>
          <cell r="I43">
            <v>17.8</v>
          </cell>
          <cell r="J43">
            <v>34.6</v>
          </cell>
          <cell r="K43">
            <v>1.3</v>
          </cell>
          <cell r="L43">
            <v>0.1</v>
          </cell>
          <cell r="M43">
            <v>0</v>
          </cell>
          <cell r="N43">
            <v>2</v>
          </cell>
          <cell r="O43">
            <v>5.9</v>
          </cell>
          <cell r="P43">
            <v>1.1000000000000001</v>
          </cell>
          <cell r="Q43">
            <v>0</v>
          </cell>
          <cell r="R43">
            <v>10.8</v>
          </cell>
          <cell r="S43">
            <v>0</v>
          </cell>
          <cell r="T43">
            <v>0</v>
          </cell>
          <cell r="U43">
            <v>0</v>
          </cell>
          <cell r="V43">
            <v>13.4</v>
          </cell>
          <cell r="W43">
            <v>17</v>
          </cell>
          <cell r="X43">
            <v>0</v>
          </cell>
          <cell r="Y43">
            <v>0</v>
          </cell>
          <cell r="Z43">
            <v>0</v>
          </cell>
        </row>
        <row r="44">
          <cell r="A44">
            <v>43043</v>
          </cell>
          <cell r="B44">
            <v>43</v>
          </cell>
          <cell r="C44">
            <v>14.5</v>
          </cell>
          <cell r="D44">
            <v>39.799999999999997</v>
          </cell>
          <cell r="E44">
            <v>2.75</v>
          </cell>
          <cell r="F44">
            <v>3.6</v>
          </cell>
          <cell r="G44">
            <v>0</v>
          </cell>
          <cell r="H44">
            <v>0</v>
          </cell>
          <cell r="I44">
            <v>3.5</v>
          </cell>
          <cell r="J44">
            <v>5.4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3.4</v>
          </cell>
          <cell r="P44">
            <v>0</v>
          </cell>
          <cell r="Q44">
            <v>0</v>
          </cell>
          <cell r="R44">
            <v>0.1</v>
          </cell>
          <cell r="S44">
            <v>0</v>
          </cell>
          <cell r="T44">
            <v>0</v>
          </cell>
          <cell r="U44">
            <v>0</v>
          </cell>
          <cell r="V44">
            <v>1.8</v>
          </cell>
          <cell r="W44">
            <v>6</v>
          </cell>
          <cell r="X44">
            <v>0</v>
          </cell>
          <cell r="Y44">
            <v>0</v>
          </cell>
          <cell r="Z44">
            <v>0</v>
          </cell>
        </row>
        <row r="45">
          <cell r="A45">
            <v>43044</v>
          </cell>
          <cell r="B45">
            <v>44</v>
          </cell>
          <cell r="C45">
            <v>157.30000000000001</v>
          </cell>
          <cell r="D45">
            <v>480.4</v>
          </cell>
          <cell r="E45">
            <v>3.05</v>
          </cell>
          <cell r="F45">
            <v>9</v>
          </cell>
          <cell r="G45">
            <v>0</v>
          </cell>
          <cell r="H45">
            <v>1.9</v>
          </cell>
          <cell r="I45">
            <v>7.1</v>
          </cell>
          <cell r="J45">
            <v>42.1</v>
          </cell>
          <cell r="K45">
            <v>0</v>
          </cell>
          <cell r="L45">
            <v>0</v>
          </cell>
          <cell r="M45">
            <v>0</v>
          </cell>
          <cell r="N45">
            <v>1.9</v>
          </cell>
          <cell r="O45">
            <v>1.8</v>
          </cell>
          <cell r="P45">
            <v>0</v>
          </cell>
          <cell r="Q45">
            <v>0</v>
          </cell>
          <cell r="R45">
            <v>5.2</v>
          </cell>
          <cell r="S45">
            <v>0</v>
          </cell>
          <cell r="T45">
            <v>0</v>
          </cell>
          <cell r="U45">
            <v>13.5</v>
          </cell>
          <cell r="V45">
            <v>19.5</v>
          </cell>
          <cell r="W45">
            <v>15</v>
          </cell>
          <cell r="X45">
            <v>0</v>
          </cell>
          <cell r="Y45">
            <v>0</v>
          </cell>
          <cell r="Z45">
            <v>0</v>
          </cell>
        </row>
        <row r="46">
          <cell r="A46">
            <v>43045</v>
          </cell>
          <cell r="B46">
            <v>45</v>
          </cell>
          <cell r="C46">
            <v>58.5</v>
          </cell>
          <cell r="D46">
            <v>209.1</v>
          </cell>
          <cell r="E46">
            <v>3.58</v>
          </cell>
          <cell r="F46">
            <v>11</v>
          </cell>
          <cell r="G46">
            <v>3.9</v>
          </cell>
          <cell r="H46">
            <v>0</v>
          </cell>
          <cell r="I46">
            <v>7</v>
          </cell>
          <cell r="J46">
            <v>19.399999999999999</v>
          </cell>
          <cell r="K46">
            <v>3.8</v>
          </cell>
          <cell r="L46">
            <v>0.1</v>
          </cell>
          <cell r="M46">
            <v>0</v>
          </cell>
          <cell r="N46">
            <v>0</v>
          </cell>
          <cell r="O46">
            <v>0.1</v>
          </cell>
          <cell r="P46">
            <v>0.1</v>
          </cell>
          <cell r="Q46">
            <v>1</v>
          </cell>
          <cell r="R46">
            <v>5.8</v>
          </cell>
          <cell r="S46">
            <v>0</v>
          </cell>
          <cell r="T46">
            <v>0</v>
          </cell>
          <cell r="U46">
            <v>1</v>
          </cell>
          <cell r="V46">
            <v>7.3</v>
          </cell>
          <cell r="W46">
            <v>10</v>
          </cell>
          <cell r="X46">
            <v>0</v>
          </cell>
          <cell r="Y46">
            <v>0</v>
          </cell>
          <cell r="Z46">
            <v>0</v>
          </cell>
        </row>
        <row r="47">
          <cell r="A47">
            <v>43046</v>
          </cell>
          <cell r="B47">
            <v>46</v>
          </cell>
          <cell r="C47">
            <v>7.9</v>
          </cell>
          <cell r="D47">
            <v>17.100000000000001</v>
          </cell>
          <cell r="E47">
            <v>2.17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1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</v>
          </cell>
          <cell r="W47">
            <v>5</v>
          </cell>
          <cell r="X47">
            <v>0</v>
          </cell>
          <cell r="Y47">
            <v>0</v>
          </cell>
          <cell r="Z47">
            <v>0</v>
          </cell>
        </row>
        <row r="48">
          <cell r="A48">
            <v>43047</v>
          </cell>
          <cell r="B48">
            <v>47</v>
          </cell>
          <cell r="C48">
            <v>24.2</v>
          </cell>
          <cell r="D48">
            <v>73</v>
          </cell>
          <cell r="E48">
            <v>3.02</v>
          </cell>
          <cell r="F48">
            <v>6</v>
          </cell>
          <cell r="G48">
            <v>0.6</v>
          </cell>
          <cell r="H48">
            <v>0</v>
          </cell>
          <cell r="I48">
            <v>5.4</v>
          </cell>
          <cell r="J48">
            <v>9</v>
          </cell>
          <cell r="K48">
            <v>0.6</v>
          </cell>
          <cell r="L48">
            <v>0</v>
          </cell>
          <cell r="M48">
            <v>0</v>
          </cell>
          <cell r="N48">
            <v>0</v>
          </cell>
          <cell r="O48">
            <v>5.3</v>
          </cell>
          <cell r="P48">
            <v>0</v>
          </cell>
          <cell r="Q48">
            <v>0</v>
          </cell>
          <cell r="R48">
            <v>0.1</v>
          </cell>
          <cell r="S48">
            <v>0</v>
          </cell>
          <cell r="T48">
            <v>0</v>
          </cell>
          <cell r="U48">
            <v>0</v>
          </cell>
          <cell r="V48">
            <v>3</v>
          </cell>
          <cell r="W48">
            <v>7</v>
          </cell>
          <cell r="X48">
            <v>0</v>
          </cell>
          <cell r="Y48">
            <v>0</v>
          </cell>
          <cell r="Z48">
            <v>0</v>
          </cell>
        </row>
        <row r="49">
          <cell r="A49">
            <v>43048</v>
          </cell>
          <cell r="B49">
            <v>48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</row>
        <row r="50">
          <cell r="A50">
            <v>43049</v>
          </cell>
          <cell r="B50">
            <v>49</v>
          </cell>
          <cell r="C50">
            <v>94.1</v>
          </cell>
          <cell r="D50">
            <v>173.2</v>
          </cell>
          <cell r="E50">
            <v>1.84</v>
          </cell>
          <cell r="F50">
            <v>564.6</v>
          </cell>
          <cell r="G50">
            <v>288.5</v>
          </cell>
          <cell r="H50">
            <v>4.7</v>
          </cell>
          <cell r="I50">
            <v>271.5</v>
          </cell>
          <cell r="J50">
            <v>581.5</v>
          </cell>
          <cell r="K50">
            <v>4.9000000000000004</v>
          </cell>
          <cell r="L50">
            <v>283.5</v>
          </cell>
          <cell r="M50">
            <v>1.9</v>
          </cell>
          <cell r="N50">
            <v>2.8</v>
          </cell>
          <cell r="O50">
            <v>11.1</v>
          </cell>
          <cell r="P50">
            <v>6.1</v>
          </cell>
          <cell r="Q50">
            <v>3.7</v>
          </cell>
          <cell r="R50">
            <v>250.6</v>
          </cell>
          <cell r="S50">
            <v>0</v>
          </cell>
          <cell r="T50">
            <v>0</v>
          </cell>
          <cell r="U50">
            <v>5.2</v>
          </cell>
          <cell r="V50">
            <v>11.7</v>
          </cell>
          <cell r="W50">
            <v>0</v>
          </cell>
          <cell r="X50">
            <v>0</v>
          </cell>
          <cell r="Y50">
            <v>156</v>
          </cell>
          <cell r="Z50">
            <v>588</v>
          </cell>
        </row>
        <row r="51">
          <cell r="A51">
            <v>43050</v>
          </cell>
          <cell r="B51">
            <v>50</v>
          </cell>
          <cell r="C51">
            <v>14.9</v>
          </cell>
          <cell r="D51">
            <v>67.900000000000006</v>
          </cell>
          <cell r="E51">
            <v>4.55</v>
          </cell>
          <cell r="F51">
            <v>79.5</v>
          </cell>
          <cell r="G51">
            <v>77.3</v>
          </cell>
          <cell r="H51">
            <v>0.2</v>
          </cell>
          <cell r="I51">
            <v>2</v>
          </cell>
          <cell r="J51">
            <v>87.6</v>
          </cell>
          <cell r="K51">
            <v>77</v>
          </cell>
          <cell r="L51">
            <v>0.4</v>
          </cell>
          <cell r="M51">
            <v>0.1</v>
          </cell>
          <cell r="N51">
            <v>0.1</v>
          </cell>
          <cell r="O51">
            <v>0.4</v>
          </cell>
          <cell r="P51">
            <v>0.3</v>
          </cell>
          <cell r="Q51">
            <v>0.1</v>
          </cell>
          <cell r="R51">
            <v>1.1000000000000001</v>
          </cell>
          <cell r="S51">
            <v>0</v>
          </cell>
          <cell r="T51">
            <v>0</v>
          </cell>
          <cell r="U51">
            <v>6.2</v>
          </cell>
          <cell r="V51">
            <v>1.9</v>
          </cell>
          <cell r="W51">
            <v>6</v>
          </cell>
          <cell r="X51">
            <v>0</v>
          </cell>
          <cell r="Y51">
            <v>0</v>
          </cell>
          <cell r="Z51">
            <v>0</v>
          </cell>
        </row>
        <row r="52">
          <cell r="A52">
            <v>43051</v>
          </cell>
          <cell r="B52">
            <v>51</v>
          </cell>
          <cell r="C52">
            <v>16.5</v>
          </cell>
          <cell r="D52">
            <v>42.7</v>
          </cell>
          <cell r="E52">
            <v>2.58</v>
          </cell>
          <cell r="F52">
            <v>3.4</v>
          </cell>
          <cell r="G52">
            <v>0</v>
          </cell>
          <cell r="H52">
            <v>0</v>
          </cell>
          <cell r="I52">
            <v>3.4</v>
          </cell>
          <cell r="J52">
            <v>9.6999999999999993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3.4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4.2</v>
          </cell>
          <cell r="V52">
            <v>2.1</v>
          </cell>
          <cell r="W52">
            <v>4</v>
          </cell>
          <cell r="X52">
            <v>0</v>
          </cell>
          <cell r="Y52">
            <v>0</v>
          </cell>
          <cell r="Z52">
            <v>0</v>
          </cell>
        </row>
        <row r="53">
          <cell r="A53">
            <v>43052</v>
          </cell>
          <cell r="B53">
            <v>52</v>
          </cell>
          <cell r="C53">
            <v>29.8</v>
          </cell>
          <cell r="D53">
            <v>83.8</v>
          </cell>
          <cell r="E53">
            <v>2.81</v>
          </cell>
          <cell r="F53">
            <v>1.8</v>
          </cell>
          <cell r="G53">
            <v>0</v>
          </cell>
          <cell r="H53">
            <v>0</v>
          </cell>
          <cell r="I53">
            <v>1.8</v>
          </cell>
          <cell r="J53">
            <v>5.5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1.8</v>
          </cell>
          <cell r="S53">
            <v>0</v>
          </cell>
          <cell r="T53">
            <v>0</v>
          </cell>
          <cell r="U53">
            <v>0</v>
          </cell>
          <cell r="V53">
            <v>3.7</v>
          </cell>
          <cell r="W53">
            <v>9</v>
          </cell>
          <cell r="X53">
            <v>0</v>
          </cell>
          <cell r="Y53">
            <v>0</v>
          </cell>
          <cell r="Z53">
            <v>0</v>
          </cell>
        </row>
        <row r="54">
          <cell r="A54">
            <v>43053</v>
          </cell>
          <cell r="B54">
            <v>53</v>
          </cell>
          <cell r="C54">
            <v>1.2</v>
          </cell>
          <cell r="D54">
            <v>3</v>
          </cell>
          <cell r="E54">
            <v>2.41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1.2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1</v>
          </cell>
          <cell r="V54">
            <v>0.2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</row>
        <row r="55">
          <cell r="A55">
            <v>43054</v>
          </cell>
          <cell r="B55">
            <v>54</v>
          </cell>
          <cell r="C55">
            <v>12.4</v>
          </cell>
          <cell r="D55">
            <v>31</v>
          </cell>
          <cell r="E55">
            <v>2.5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2.5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1</v>
          </cell>
          <cell r="V55">
            <v>1.5</v>
          </cell>
          <cell r="W55">
            <v>5</v>
          </cell>
          <cell r="X55">
            <v>0</v>
          </cell>
          <cell r="Y55">
            <v>0</v>
          </cell>
          <cell r="Z55">
            <v>0</v>
          </cell>
        </row>
        <row r="56">
          <cell r="A56">
            <v>43055</v>
          </cell>
          <cell r="B56">
            <v>55</v>
          </cell>
          <cell r="C56">
            <v>52.3</v>
          </cell>
          <cell r="D56">
            <v>62.7</v>
          </cell>
          <cell r="E56">
            <v>1.2</v>
          </cell>
          <cell r="F56">
            <v>3049.4</v>
          </cell>
          <cell r="G56">
            <v>1108.7</v>
          </cell>
          <cell r="H56">
            <v>130.19999999999999</v>
          </cell>
          <cell r="I56">
            <v>1810.5</v>
          </cell>
          <cell r="J56">
            <v>3075.7</v>
          </cell>
          <cell r="K56">
            <v>463.5</v>
          </cell>
          <cell r="L56">
            <v>645.20000000000005</v>
          </cell>
          <cell r="M56">
            <v>54</v>
          </cell>
          <cell r="N56">
            <v>76.2</v>
          </cell>
          <cell r="O56">
            <v>300.8</v>
          </cell>
          <cell r="P56">
            <v>176.7</v>
          </cell>
          <cell r="Q56">
            <v>102.6</v>
          </cell>
          <cell r="R56">
            <v>1230.4000000000001</v>
          </cell>
          <cell r="S56">
            <v>0</v>
          </cell>
          <cell r="T56">
            <v>0</v>
          </cell>
          <cell r="U56">
            <v>19.8</v>
          </cell>
          <cell r="V56">
            <v>6.5</v>
          </cell>
          <cell r="W56">
            <v>29</v>
          </cell>
          <cell r="X56">
            <v>0</v>
          </cell>
          <cell r="Y56">
            <v>91</v>
          </cell>
          <cell r="Z56">
            <v>1180</v>
          </cell>
        </row>
        <row r="57">
          <cell r="A57">
            <v>43056</v>
          </cell>
          <cell r="B57">
            <v>56</v>
          </cell>
          <cell r="C57">
            <v>26.9</v>
          </cell>
          <cell r="D57">
            <v>45.5</v>
          </cell>
          <cell r="E57">
            <v>1.69</v>
          </cell>
          <cell r="F57">
            <v>1.8</v>
          </cell>
          <cell r="G57">
            <v>0</v>
          </cell>
          <cell r="H57">
            <v>0</v>
          </cell>
          <cell r="I57">
            <v>1.8</v>
          </cell>
          <cell r="J57">
            <v>14.5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1.8</v>
          </cell>
          <cell r="S57">
            <v>0</v>
          </cell>
          <cell r="T57">
            <v>0</v>
          </cell>
          <cell r="U57">
            <v>9.4</v>
          </cell>
          <cell r="V57">
            <v>3.3</v>
          </cell>
          <cell r="W57">
            <v>1</v>
          </cell>
          <cell r="X57">
            <v>0</v>
          </cell>
          <cell r="Y57">
            <v>61</v>
          </cell>
          <cell r="Z57">
            <v>0</v>
          </cell>
        </row>
        <row r="58">
          <cell r="A58">
            <v>43057</v>
          </cell>
          <cell r="B58">
            <v>57</v>
          </cell>
          <cell r="C58">
            <v>13.7</v>
          </cell>
          <cell r="D58">
            <v>73.900000000000006</v>
          </cell>
          <cell r="E58">
            <v>5.41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7.9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6.2</v>
          </cell>
          <cell r="V58">
            <v>1.7</v>
          </cell>
          <cell r="W58">
            <v>0</v>
          </cell>
          <cell r="X58">
            <v>0</v>
          </cell>
          <cell r="Y58">
            <v>33</v>
          </cell>
          <cell r="Z58">
            <v>0</v>
          </cell>
        </row>
        <row r="59">
          <cell r="A59">
            <v>43058</v>
          </cell>
          <cell r="B59">
            <v>58</v>
          </cell>
          <cell r="C59">
            <v>44.7</v>
          </cell>
          <cell r="D59">
            <v>102.7</v>
          </cell>
          <cell r="E59">
            <v>2.2999999999999998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24.3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18.7</v>
          </cell>
          <cell r="V59">
            <v>5.6</v>
          </cell>
          <cell r="W59">
            <v>0</v>
          </cell>
          <cell r="X59">
            <v>0</v>
          </cell>
          <cell r="Y59">
            <v>158</v>
          </cell>
          <cell r="Z59">
            <v>0</v>
          </cell>
        </row>
        <row r="60">
          <cell r="A60">
            <v>43059</v>
          </cell>
          <cell r="B60">
            <v>59</v>
          </cell>
          <cell r="C60">
            <v>171.2</v>
          </cell>
          <cell r="D60">
            <v>415.2</v>
          </cell>
          <cell r="E60">
            <v>2.42</v>
          </cell>
          <cell r="F60">
            <v>161.9</v>
          </cell>
          <cell r="G60">
            <v>35.299999999999997</v>
          </cell>
          <cell r="H60">
            <v>11</v>
          </cell>
          <cell r="I60">
            <v>115.6</v>
          </cell>
          <cell r="J60">
            <v>230</v>
          </cell>
          <cell r="K60">
            <v>11.9</v>
          </cell>
          <cell r="L60">
            <v>23.4</v>
          </cell>
          <cell r="M60">
            <v>4.5</v>
          </cell>
          <cell r="N60">
            <v>6.5</v>
          </cell>
          <cell r="O60">
            <v>26.6</v>
          </cell>
          <cell r="P60">
            <v>14.6</v>
          </cell>
          <cell r="Q60">
            <v>8.9</v>
          </cell>
          <cell r="R60">
            <v>65.5</v>
          </cell>
          <cell r="S60">
            <v>0</v>
          </cell>
          <cell r="T60">
            <v>0</v>
          </cell>
          <cell r="U60">
            <v>46.8</v>
          </cell>
          <cell r="V60">
            <v>21.3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</row>
        <row r="61">
          <cell r="A61">
            <v>43060</v>
          </cell>
          <cell r="B61">
            <v>60</v>
          </cell>
          <cell r="C61">
            <v>75.599999999999994</v>
          </cell>
          <cell r="D61">
            <v>199.5</v>
          </cell>
          <cell r="E61">
            <v>2.64</v>
          </cell>
          <cell r="F61">
            <v>30.6</v>
          </cell>
          <cell r="G61">
            <v>0.2</v>
          </cell>
          <cell r="H61">
            <v>1.1000000000000001</v>
          </cell>
          <cell r="I61">
            <v>29.3</v>
          </cell>
          <cell r="J61">
            <v>56.6</v>
          </cell>
          <cell r="K61">
            <v>0.1</v>
          </cell>
          <cell r="L61">
            <v>0.1</v>
          </cell>
          <cell r="M61">
            <v>1</v>
          </cell>
          <cell r="N61">
            <v>0</v>
          </cell>
          <cell r="O61">
            <v>0.1</v>
          </cell>
          <cell r="P61">
            <v>0.1</v>
          </cell>
          <cell r="Q61">
            <v>0.1</v>
          </cell>
          <cell r="R61">
            <v>29.1</v>
          </cell>
          <cell r="S61">
            <v>0</v>
          </cell>
          <cell r="T61">
            <v>0</v>
          </cell>
          <cell r="U61">
            <v>16.600000000000001</v>
          </cell>
          <cell r="V61">
            <v>9.4</v>
          </cell>
          <cell r="W61">
            <v>8</v>
          </cell>
          <cell r="X61">
            <v>0</v>
          </cell>
          <cell r="Y61">
            <v>35</v>
          </cell>
          <cell r="Z61">
            <v>0</v>
          </cell>
        </row>
        <row r="62">
          <cell r="A62">
            <v>43061</v>
          </cell>
          <cell r="B62">
            <v>61</v>
          </cell>
          <cell r="C62">
            <v>9.5</v>
          </cell>
          <cell r="D62">
            <v>23.4</v>
          </cell>
          <cell r="E62">
            <v>2.4700000000000002</v>
          </cell>
          <cell r="F62">
            <v>50</v>
          </cell>
          <cell r="G62">
            <v>10.9</v>
          </cell>
          <cell r="H62">
            <v>3.4</v>
          </cell>
          <cell r="I62">
            <v>35.700000000000003</v>
          </cell>
          <cell r="J62">
            <v>55.4</v>
          </cell>
          <cell r="K62">
            <v>3.6</v>
          </cell>
          <cell r="L62">
            <v>7.3</v>
          </cell>
          <cell r="M62">
            <v>1.4</v>
          </cell>
          <cell r="N62">
            <v>2</v>
          </cell>
          <cell r="O62">
            <v>8.1999999999999993</v>
          </cell>
          <cell r="P62">
            <v>4.5</v>
          </cell>
          <cell r="Q62">
            <v>2.7</v>
          </cell>
          <cell r="R62">
            <v>20.2</v>
          </cell>
          <cell r="S62">
            <v>0</v>
          </cell>
          <cell r="T62">
            <v>0</v>
          </cell>
          <cell r="U62">
            <v>4.2</v>
          </cell>
          <cell r="V62">
            <v>1.2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</row>
        <row r="63">
          <cell r="A63">
            <v>43062</v>
          </cell>
          <cell r="B63">
            <v>62</v>
          </cell>
          <cell r="C63">
            <v>10</v>
          </cell>
          <cell r="D63">
            <v>12.6</v>
          </cell>
          <cell r="E63">
            <v>1.26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7.4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6.2</v>
          </cell>
          <cell r="V63">
            <v>1.2</v>
          </cell>
          <cell r="W63">
            <v>4</v>
          </cell>
          <cell r="X63">
            <v>0</v>
          </cell>
          <cell r="Y63">
            <v>0</v>
          </cell>
          <cell r="Z63">
            <v>0</v>
          </cell>
        </row>
        <row r="64">
          <cell r="A64">
            <v>43063</v>
          </cell>
          <cell r="B64">
            <v>63</v>
          </cell>
          <cell r="C64">
            <v>6.8</v>
          </cell>
          <cell r="D64">
            <v>12.2</v>
          </cell>
          <cell r="E64">
            <v>1.78</v>
          </cell>
          <cell r="F64">
            <v>27.6</v>
          </cell>
          <cell r="G64">
            <v>0.9</v>
          </cell>
          <cell r="H64">
            <v>0.3</v>
          </cell>
          <cell r="I64">
            <v>26.4</v>
          </cell>
          <cell r="J64">
            <v>33.700000000000003</v>
          </cell>
          <cell r="K64">
            <v>0.3</v>
          </cell>
          <cell r="L64">
            <v>0.6</v>
          </cell>
          <cell r="M64">
            <v>0.1</v>
          </cell>
          <cell r="N64">
            <v>0.2</v>
          </cell>
          <cell r="O64">
            <v>2.2000000000000002</v>
          </cell>
          <cell r="P64">
            <v>0.4</v>
          </cell>
          <cell r="Q64">
            <v>0.2</v>
          </cell>
          <cell r="R64">
            <v>23.6</v>
          </cell>
          <cell r="S64">
            <v>0</v>
          </cell>
          <cell r="T64">
            <v>0</v>
          </cell>
          <cell r="U64">
            <v>5.2</v>
          </cell>
          <cell r="V64">
            <v>0.9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</row>
        <row r="65">
          <cell r="A65">
            <v>43064</v>
          </cell>
          <cell r="B65">
            <v>64</v>
          </cell>
          <cell r="C65">
            <v>75.7</v>
          </cell>
          <cell r="D65">
            <v>192.4</v>
          </cell>
          <cell r="E65">
            <v>2.54</v>
          </cell>
          <cell r="F65">
            <v>111.2</v>
          </cell>
          <cell r="G65">
            <v>3.8</v>
          </cell>
          <cell r="H65">
            <v>5.2</v>
          </cell>
          <cell r="I65">
            <v>102.2</v>
          </cell>
          <cell r="J65">
            <v>124.8</v>
          </cell>
          <cell r="K65">
            <v>1.4</v>
          </cell>
          <cell r="L65">
            <v>2.4</v>
          </cell>
          <cell r="M65">
            <v>4.5999999999999996</v>
          </cell>
          <cell r="N65">
            <v>0.7</v>
          </cell>
          <cell r="O65">
            <v>2.7</v>
          </cell>
          <cell r="P65">
            <v>1.6</v>
          </cell>
          <cell r="Q65">
            <v>0.9</v>
          </cell>
          <cell r="R65">
            <v>97.1</v>
          </cell>
          <cell r="S65">
            <v>0</v>
          </cell>
          <cell r="T65">
            <v>0</v>
          </cell>
          <cell r="U65">
            <v>4.2</v>
          </cell>
          <cell r="V65">
            <v>9.4</v>
          </cell>
          <cell r="W65">
            <v>188</v>
          </cell>
          <cell r="X65">
            <v>0</v>
          </cell>
          <cell r="Y65">
            <v>0</v>
          </cell>
          <cell r="Z65">
            <v>0</v>
          </cell>
        </row>
        <row r="66">
          <cell r="A66">
            <v>43065</v>
          </cell>
          <cell r="B66">
            <v>65</v>
          </cell>
          <cell r="C66">
            <v>120.2</v>
          </cell>
          <cell r="D66">
            <v>257</v>
          </cell>
          <cell r="E66">
            <v>2.14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37.799999999999997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22.9</v>
          </cell>
          <cell r="V66">
            <v>14.9</v>
          </cell>
          <cell r="W66">
            <v>47</v>
          </cell>
          <cell r="X66">
            <v>0</v>
          </cell>
          <cell r="Y66">
            <v>0</v>
          </cell>
          <cell r="Z66">
            <v>0</v>
          </cell>
        </row>
        <row r="67">
          <cell r="A67">
            <v>43066</v>
          </cell>
          <cell r="B67">
            <v>66</v>
          </cell>
          <cell r="C67">
            <v>82</v>
          </cell>
          <cell r="D67">
            <v>219</v>
          </cell>
          <cell r="E67">
            <v>2.67</v>
          </cell>
          <cell r="F67">
            <v>74.099999999999994</v>
          </cell>
          <cell r="G67">
            <v>1.6</v>
          </cell>
          <cell r="H67">
            <v>0.5</v>
          </cell>
          <cell r="I67">
            <v>71.900000000000006</v>
          </cell>
          <cell r="J67">
            <v>84.3</v>
          </cell>
          <cell r="K67">
            <v>0.6</v>
          </cell>
          <cell r="L67">
            <v>1.1000000000000001</v>
          </cell>
          <cell r="M67">
            <v>0.2</v>
          </cell>
          <cell r="N67">
            <v>0.3</v>
          </cell>
          <cell r="O67">
            <v>36.700000000000003</v>
          </cell>
          <cell r="P67">
            <v>0.7</v>
          </cell>
          <cell r="Q67">
            <v>0.4</v>
          </cell>
          <cell r="R67">
            <v>34.1</v>
          </cell>
          <cell r="S67">
            <v>0</v>
          </cell>
          <cell r="T67">
            <v>0</v>
          </cell>
          <cell r="U67">
            <v>0</v>
          </cell>
          <cell r="V67">
            <v>10.199999999999999</v>
          </cell>
          <cell r="W67">
            <v>31</v>
          </cell>
          <cell r="X67">
            <v>0</v>
          </cell>
          <cell r="Y67">
            <v>0</v>
          </cell>
          <cell r="Z67">
            <v>0</v>
          </cell>
        </row>
        <row r="68">
          <cell r="A68">
            <v>43067</v>
          </cell>
          <cell r="B68">
            <v>67</v>
          </cell>
          <cell r="C68">
            <v>171.8</v>
          </cell>
          <cell r="D68">
            <v>414.1</v>
          </cell>
          <cell r="E68">
            <v>2.41</v>
          </cell>
          <cell r="F68">
            <v>20.8</v>
          </cell>
          <cell r="G68">
            <v>0.7</v>
          </cell>
          <cell r="H68">
            <v>4</v>
          </cell>
          <cell r="I68">
            <v>16.100000000000001</v>
          </cell>
          <cell r="J68">
            <v>50.4</v>
          </cell>
          <cell r="K68">
            <v>0.2</v>
          </cell>
          <cell r="L68">
            <v>0.4</v>
          </cell>
          <cell r="M68">
            <v>0.1</v>
          </cell>
          <cell r="N68">
            <v>3.9</v>
          </cell>
          <cell r="O68">
            <v>8</v>
          </cell>
          <cell r="P68">
            <v>0.3</v>
          </cell>
          <cell r="Q68">
            <v>0.2</v>
          </cell>
          <cell r="R68">
            <v>7.7</v>
          </cell>
          <cell r="S68">
            <v>0</v>
          </cell>
          <cell r="T68">
            <v>0</v>
          </cell>
          <cell r="U68">
            <v>8.3000000000000007</v>
          </cell>
          <cell r="V68">
            <v>21.3</v>
          </cell>
          <cell r="W68">
            <v>118</v>
          </cell>
          <cell r="X68">
            <v>0</v>
          </cell>
          <cell r="Y68">
            <v>0</v>
          </cell>
          <cell r="Z68">
            <v>0</v>
          </cell>
        </row>
        <row r="69">
          <cell r="A69">
            <v>43068</v>
          </cell>
          <cell r="B69">
            <v>68</v>
          </cell>
          <cell r="C69">
            <v>139.19999999999999</v>
          </cell>
          <cell r="D69">
            <v>274.2</v>
          </cell>
          <cell r="E69">
            <v>1.97</v>
          </cell>
          <cell r="F69">
            <v>8.3000000000000007</v>
          </cell>
          <cell r="G69">
            <v>1.6</v>
          </cell>
          <cell r="H69">
            <v>0.1</v>
          </cell>
          <cell r="I69">
            <v>6.6</v>
          </cell>
          <cell r="J69">
            <v>26.6</v>
          </cell>
          <cell r="K69">
            <v>1.4</v>
          </cell>
          <cell r="L69">
            <v>0.2</v>
          </cell>
          <cell r="M69">
            <v>0</v>
          </cell>
          <cell r="N69">
            <v>0.1</v>
          </cell>
          <cell r="O69">
            <v>5.8</v>
          </cell>
          <cell r="P69">
            <v>0.1</v>
          </cell>
          <cell r="Q69">
            <v>0.1</v>
          </cell>
          <cell r="R69">
            <v>0.6</v>
          </cell>
          <cell r="S69">
            <v>0</v>
          </cell>
          <cell r="T69">
            <v>0</v>
          </cell>
          <cell r="U69">
            <v>1</v>
          </cell>
          <cell r="V69">
            <v>17.3</v>
          </cell>
          <cell r="W69">
            <v>8</v>
          </cell>
          <cell r="X69">
            <v>0</v>
          </cell>
          <cell r="Y69">
            <v>0</v>
          </cell>
          <cell r="Z69">
            <v>0</v>
          </cell>
        </row>
        <row r="70">
          <cell r="A70">
            <v>43069</v>
          </cell>
          <cell r="B70">
            <v>69</v>
          </cell>
          <cell r="C70">
            <v>377.7</v>
          </cell>
          <cell r="D70">
            <v>728.8</v>
          </cell>
          <cell r="E70">
            <v>1.93</v>
          </cell>
          <cell r="F70">
            <v>751.8</v>
          </cell>
          <cell r="G70">
            <v>25.4</v>
          </cell>
          <cell r="H70">
            <v>7.8</v>
          </cell>
          <cell r="I70">
            <v>718.5</v>
          </cell>
          <cell r="J70">
            <v>813.2</v>
          </cell>
          <cell r="K70">
            <v>9</v>
          </cell>
          <cell r="L70">
            <v>16.399999999999999</v>
          </cell>
          <cell r="M70">
            <v>3.2</v>
          </cell>
          <cell r="N70">
            <v>4.5999999999999996</v>
          </cell>
          <cell r="O70">
            <v>18.100000000000001</v>
          </cell>
          <cell r="P70">
            <v>23.8</v>
          </cell>
          <cell r="Q70">
            <v>6.1</v>
          </cell>
          <cell r="R70">
            <v>670.5</v>
          </cell>
          <cell r="S70">
            <v>0</v>
          </cell>
          <cell r="T70">
            <v>0</v>
          </cell>
          <cell r="U70">
            <v>14.6</v>
          </cell>
          <cell r="V70">
            <v>46.9</v>
          </cell>
          <cell r="W70">
            <v>214</v>
          </cell>
          <cell r="X70">
            <v>0</v>
          </cell>
          <cell r="Y70">
            <v>0</v>
          </cell>
          <cell r="Z70">
            <v>0</v>
          </cell>
        </row>
        <row r="71">
          <cell r="A71">
            <v>43070</v>
          </cell>
          <cell r="B71">
            <v>70</v>
          </cell>
          <cell r="C71">
            <v>159.80000000000001</v>
          </cell>
          <cell r="D71">
            <v>202.3</v>
          </cell>
          <cell r="E71">
            <v>1.27</v>
          </cell>
          <cell r="F71">
            <v>25.4</v>
          </cell>
          <cell r="G71">
            <v>0.9</v>
          </cell>
          <cell r="H71">
            <v>4.0999999999999996</v>
          </cell>
          <cell r="I71">
            <v>20.5</v>
          </cell>
          <cell r="J71">
            <v>75.5</v>
          </cell>
          <cell r="K71">
            <v>0.3</v>
          </cell>
          <cell r="L71">
            <v>0.6</v>
          </cell>
          <cell r="M71">
            <v>0.1</v>
          </cell>
          <cell r="N71">
            <v>4</v>
          </cell>
          <cell r="O71">
            <v>8.1999999999999993</v>
          </cell>
          <cell r="P71">
            <v>0.4</v>
          </cell>
          <cell r="Q71">
            <v>0.2</v>
          </cell>
          <cell r="R71">
            <v>11.7</v>
          </cell>
          <cell r="S71">
            <v>0</v>
          </cell>
          <cell r="T71">
            <v>0</v>
          </cell>
          <cell r="U71">
            <v>30.1</v>
          </cell>
          <cell r="V71">
            <v>19.899999999999999</v>
          </cell>
          <cell r="W71">
            <v>54</v>
          </cell>
          <cell r="X71">
            <v>0</v>
          </cell>
          <cell r="Y71">
            <v>0</v>
          </cell>
          <cell r="Z71">
            <v>0</v>
          </cell>
        </row>
        <row r="72">
          <cell r="A72">
            <v>43071</v>
          </cell>
          <cell r="B72">
            <v>71</v>
          </cell>
          <cell r="C72">
            <v>12.1</v>
          </cell>
          <cell r="D72">
            <v>29.3</v>
          </cell>
          <cell r="E72">
            <v>2.41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12.9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11.4</v>
          </cell>
          <cell r="V72">
            <v>1.5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</row>
        <row r="73">
          <cell r="A73">
            <v>43072</v>
          </cell>
          <cell r="B73">
            <v>72</v>
          </cell>
          <cell r="C73">
            <v>110.1</v>
          </cell>
          <cell r="D73">
            <v>207.5</v>
          </cell>
          <cell r="E73">
            <v>1.88</v>
          </cell>
          <cell r="F73">
            <v>11.5</v>
          </cell>
          <cell r="G73">
            <v>0.3</v>
          </cell>
          <cell r="H73">
            <v>1.1000000000000001</v>
          </cell>
          <cell r="I73">
            <v>10.1</v>
          </cell>
          <cell r="J73">
            <v>27.3</v>
          </cell>
          <cell r="K73">
            <v>0.1</v>
          </cell>
          <cell r="L73">
            <v>0.2</v>
          </cell>
          <cell r="M73">
            <v>0</v>
          </cell>
          <cell r="N73">
            <v>1</v>
          </cell>
          <cell r="O73">
            <v>0.2</v>
          </cell>
          <cell r="P73">
            <v>0.1</v>
          </cell>
          <cell r="Q73">
            <v>0.1</v>
          </cell>
          <cell r="R73">
            <v>9.6999999999999993</v>
          </cell>
          <cell r="S73">
            <v>0</v>
          </cell>
          <cell r="T73">
            <v>0</v>
          </cell>
          <cell r="U73">
            <v>2.1</v>
          </cell>
          <cell r="V73">
            <v>13.7</v>
          </cell>
          <cell r="W73">
            <v>55</v>
          </cell>
          <cell r="X73">
            <v>0</v>
          </cell>
          <cell r="Y73">
            <v>0</v>
          </cell>
          <cell r="Z73">
            <v>0</v>
          </cell>
        </row>
        <row r="74">
          <cell r="A74">
            <v>43073</v>
          </cell>
          <cell r="B74">
            <v>73</v>
          </cell>
          <cell r="C74">
            <v>97.4</v>
          </cell>
          <cell r="D74">
            <v>180.8</v>
          </cell>
          <cell r="E74">
            <v>1.86</v>
          </cell>
          <cell r="F74">
            <v>676.5</v>
          </cell>
          <cell r="G74">
            <v>333.2</v>
          </cell>
          <cell r="H74">
            <v>40</v>
          </cell>
          <cell r="I74">
            <v>303.3</v>
          </cell>
          <cell r="J74">
            <v>709.4</v>
          </cell>
          <cell r="K74">
            <v>107.6</v>
          </cell>
          <cell r="L74">
            <v>225.5</v>
          </cell>
          <cell r="M74">
            <v>3.4</v>
          </cell>
          <cell r="N74">
            <v>36.6</v>
          </cell>
          <cell r="O74">
            <v>60.9</v>
          </cell>
          <cell r="P74">
            <v>11</v>
          </cell>
          <cell r="Q74">
            <v>45.9</v>
          </cell>
          <cell r="R74">
            <v>185.5</v>
          </cell>
          <cell r="S74">
            <v>0</v>
          </cell>
          <cell r="T74">
            <v>0</v>
          </cell>
          <cell r="U74">
            <v>20.8</v>
          </cell>
          <cell r="V74">
            <v>12.1</v>
          </cell>
          <cell r="W74">
            <v>48</v>
          </cell>
          <cell r="X74">
            <v>0</v>
          </cell>
          <cell r="Y74">
            <v>0</v>
          </cell>
          <cell r="Z74">
            <v>125</v>
          </cell>
        </row>
        <row r="75">
          <cell r="A75">
            <v>43074</v>
          </cell>
          <cell r="B75">
            <v>74</v>
          </cell>
          <cell r="C75">
            <v>29.1</v>
          </cell>
          <cell r="D75">
            <v>63.1</v>
          </cell>
          <cell r="E75">
            <v>2.17</v>
          </cell>
          <cell r="F75">
            <v>6.5</v>
          </cell>
          <cell r="G75">
            <v>0.3</v>
          </cell>
          <cell r="H75">
            <v>0.1</v>
          </cell>
          <cell r="I75">
            <v>6.2</v>
          </cell>
          <cell r="J75">
            <v>12.2</v>
          </cell>
          <cell r="K75">
            <v>0.1</v>
          </cell>
          <cell r="L75">
            <v>0.2</v>
          </cell>
          <cell r="M75">
            <v>0</v>
          </cell>
          <cell r="N75">
            <v>0</v>
          </cell>
          <cell r="O75">
            <v>0.2</v>
          </cell>
          <cell r="P75">
            <v>0.1</v>
          </cell>
          <cell r="Q75">
            <v>0.1</v>
          </cell>
          <cell r="R75">
            <v>5.9</v>
          </cell>
          <cell r="S75">
            <v>0</v>
          </cell>
          <cell r="T75">
            <v>0</v>
          </cell>
          <cell r="U75">
            <v>2.1</v>
          </cell>
          <cell r="V75">
            <v>3.6</v>
          </cell>
          <cell r="W75">
            <v>14</v>
          </cell>
          <cell r="X75">
            <v>0</v>
          </cell>
          <cell r="Y75">
            <v>0</v>
          </cell>
          <cell r="Z75">
            <v>0</v>
          </cell>
        </row>
        <row r="76">
          <cell r="A76">
            <v>43075</v>
          </cell>
          <cell r="B76">
            <v>75</v>
          </cell>
          <cell r="C76">
            <v>42.5</v>
          </cell>
          <cell r="D76">
            <v>85.9</v>
          </cell>
          <cell r="E76">
            <v>2.02</v>
          </cell>
          <cell r="F76">
            <v>6.4</v>
          </cell>
          <cell r="G76">
            <v>0.2</v>
          </cell>
          <cell r="H76">
            <v>0.1</v>
          </cell>
          <cell r="I76">
            <v>6.1</v>
          </cell>
          <cell r="J76">
            <v>14.8</v>
          </cell>
          <cell r="K76">
            <v>0.1</v>
          </cell>
          <cell r="L76">
            <v>0.2</v>
          </cell>
          <cell r="M76">
            <v>0</v>
          </cell>
          <cell r="N76">
            <v>0</v>
          </cell>
          <cell r="O76">
            <v>3.9</v>
          </cell>
          <cell r="P76">
            <v>0.1</v>
          </cell>
          <cell r="Q76">
            <v>0.1</v>
          </cell>
          <cell r="R76">
            <v>2</v>
          </cell>
          <cell r="S76">
            <v>0</v>
          </cell>
          <cell r="T76">
            <v>0</v>
          </cell>
          <cell r="U76">
            <v>3.1</v>
          </cell>
          <cell r="V76">
            <v>5.3</v>
          </cell>
          <cell r="W76">
            <v>14</v>
          </cell>
          <cell r="X76">
            <v>0</v>
          </cell>
          <cell r="Y76">
            <v>0</v>
          </cell>
          <cell r="Z76">
            <v>0</v>
          </cell>
        </row>
        <row r="77">
          <cell r="A77">
            <v>43076</v>
          </cell>
          <cell r="B77">
            <v>76</v>
          </cell>
          <cell r="C77">
            <v>46.7</v>
          </cell>
          <cell r="D77">
            <v>107</v>
          </cell>
          <cell r="E77">
            <v>2.29</v>
          </cell>
          <cell r="F77">
            <v>18.8</v>
          </cell>
          <cell r="G77">
            <v>0.6</v>
          </cell>
          <cell r="H77">
            <v>0.2</v>
          </cell>
          <cell r="I77">
            <v>18</v>
          </cell>
          <cell r="J77">
            <v>30.8</v>
          </cell>
          <cell r="K77">
            <v>0.2</v>
          </cell>
          <cell r="L77">
            <v>0.4</v>
          </cell>
          <cell r="M77">
            <v>0.1</v>
          </cell>
          <cell r="N77">
            <v>0.1</v>
          </cell>
          <cell r="O77">
            <v>8</v>
          </cell>
          <cell r="P77">
            <v>0.3</v>
          </cell>
          <cell r="Q77">
            <v>0.1</v>
          </cell>
          <cell r="R77">
            <v>9.6</v>
          </cell>
          <cell r="S77">
            <v>0</v>
          </cell>
          <cell r="T77">
            <v>0</v>
          </cell>
          <cell r="U77">
            <v>6.2</v>
          </cell>
          <cell r="V77">
            <v>5.8</v>
          </cell>
          <cell r="W77">
            <v>12</v>
          </cell>
          <cell r="X77">
            <v>0</v>
          </cell>
          <cell r="Y77">
            <v>0</v>
          </cell>
          <cell r="Z77">
            <v>0</v>
          </cell>
        </row>
        <row r="78">
          <cell r="A78">
            <v>43077</v>
          </cell>
          <cell r="B78">
            <v>77</v>
          </cell>
          <cell r="C78">
            <v>0</v>
          </cell>
          <cell r="D78">
            <v>0</v>
          </cell>
          <cell r="E78">
            <v>0</v>
          </cell>
          <cell r="F78">
            <v>399.6</v>
          </cell>
          <cell r="G78">
            <v>20.9</v>
          </cell>
          <cell r="H78">
            <v>6.4</v>
          </cell>
          <cell r="I78">
            <v>372.3</v>
          </cell>
          <cell r="J78">
            <v>401.7</v>
          </cell>
          <cell r="K78">
            <v>7.4</v>
          </cell>
          <cell r="L78">
            <v>13.5</v>
          </cell>
          <cell r="M78">
            <v>2.7</v>
          </cell>
          <cell r="N78">
            <v>3.8</v>
          </cell>
          <cell r="O78">
            <v>14.9</v>
          </cell>
          <cell r="P78">
            <v>313.7</v>
          </cell>
          <cell r="Q78">
            <v>5</v>
          </cell>
          <cell r="R78">
            <v>38.700000000000003</v>
          </cell>
          <cell r="S78">
            <v>0</v>
          </cell>
          <cell r="T78">
            <v>0</v>
          </cell>
          <cell r="U78">
            <v>2.1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</row>
        <row r="79">
          <cell r="A79">
            <v>43078</v>
          </cell>
          <cell r="B79">
            <v>78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</row>
        <row r="80">
          <cell r="A80">
            <v>43079</v>
          </cell>
          <cell r="B80">
            <v>79</v>
          </cell>
          <cell r="C80">
            <v>115</v>
          </cell>
          <cell r="D80">
            <v>273.7</v>
          </cell>
          <cell r="E80">
            <v>2.38</v>
          </cell>
          <cell r="F80">
            <v>439</v>
          </cell>
          <cell r="G80">
            <v>45.7</v>
          </cell>
          <cell r="H80">
            <v>50.7</v>
          </cell>
          <cell r="I80">
            <v>342.6</v>
          </cell>
          <cell r="J80">
            <v>457.5</v>
          </cell>
          <cell r="K80">
            <v>16.7</v>
          </cell>
          <cell r="L80">
            <v>29</v>
          </cell>
          <cell r="M80">
            <v>12.9</v>
          </cell>
          <cell r="N80">
            <v>37.700000000000003</v>
          </cell>
          <cell r="O80">
            <v>26</v>
          </cell>
          <cell r="P80">
            <v>176.5</v>
          </cell>
          <cell r="Q80">
            <v>9.5</v>
          </cell>
          <cell r="R80">
            <v>130.6</v>
          </cell>
          <cell r="S80">
            <v>0</v>
          </cell>
          <cell r="T80">
            <v>0</v>
          </cell>
          <cell r="U80">
            <v>4.2</v>
          </cell>
          <cell r="V80">
            <v>14.3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</row>
        <row r="81">
          <cell r="A81">
            <v>43080</v>
          </cell>
          <cell r="B81">
            <v>80</v>
          </cell>
          <cell r="C81">
            <v>104.7</v>
          </cell>
          <cell r="D81">
            <v>179.7</v>
          </cell>
          <cell r="E81">
            <v>1.72</v>
          </cell>
          <cell r="F81">
            <v>1086.7</v>
          </cell>
          <cell r="G81">
            <v>401.3</v>
          </cell>
          <cell r="H81">
            <v>14.2</v>
          </cell>
          <cell r="I81">
            <v>671.1</v>
          </cell>
          <cell r="J81">
            <v>1131.9000000000001</v>
          </cell>
          <cell r="K81">
            <v>18.600000000000001</v>
          </cell>
          <cell r="L81">
            <v>382.7</v>
          </cell>
          <cell r="M81">
            <v>5.9</v>
          </cell>
          <cell r="N81">
            <v>8.3000000000000007</v>
          </cell>
          <cell r="O81">
            <v>128.5</v>
          </cell>
          <cell r="P81">
            <v>61.8</v>
          </cell>
          <cell r="Q81">
            <v>11.2</v>
          </cell>
          <cell r="R81">
            <v>469.6</v>
          </cell>
          <cell r="S81">
            <v>0</v>
          </cell>
          <cell r="T81">
            <v>0</v>
          </cell>
          <cell r="U81">
            <v>32.200000000000003</v>
          </cell>
          <cell r="V81">
            <v>13</v>
          </cell>
          <cell r="W81">
            <v>375</v>
          </cell>
          <cell r="X81">
            <v>0</v>
          </cell>
          <cell r="Y81">
            <v>321</v>
          </cell>
          <cell r="Z81">
            <v>0</v>
          </cell>
        </row>
        <row r="82">
          <cell r="A82">
            <v>43081</v>
          </cell>
          <cell r="B82">
            <v>81</v>
          </cell>
          <cell r="C82">
            <v>64.900000000000006</v>
          </cell>
          <cell r="D82">
            <v>214</v>
          </cell>
          <cell r="E82">
            <v>3.3</v>
          </cell>
          <cell r="F82">
            <v>803.6</v>
          </cell>
          <cell r="G82">
            <v>225.5</v>
          </cell>
          <cell r="H82">
            <v>33.5</v>
          </cell>
          <cell r="I82">
            <v>544.6</v>
          </cell>
          <cell r="J82">
            <v>830.4</v>
          </cell>
          <cell r="K82">
            <v>98.9</v>
          </cell>
          <cell r="L82">
            <v>126.6</v>
          </cell>
          <cell r="M82">
            <v>10.9</v>
          </cell>
          <cell r="N82">
            <v>22.6</v>
          </cell>
          <cell r="O82">
            <v>90.9</v>
          </cell>
          <cell r="P82">
            <v>35.299999999999997</v>
          </cell>
          <cell r="Q82">
            <v>20.5</v>
          </cell>
          <cell r="R82">
            <v>397.9</v>
          </cell>
          <cell r="S82">
            <v>0</v>
          </cell>
          <cell r="T82">
            <v>0</v>
          </cell>
          <cell r="U82">
            <v>18.7</v>
          </cell>
          <cell r="V82">
            <v>8.1</v>
          </cell>
          <cell r="W82">
            <v>0</v>
          </cell>
          <cell r="X82">
            <v>0</v>
          </cell>
          <cell r="Y82">
            <v>31</v>
          </cell>
          <cell r="Z82">
            <v>154</v>
          </cell>
        </row>
        <row r="83">
          <cell r="A83">
            <v>43082</v>
          </cell>
          <cell r="B83">
            <v>82</v>
          </cell>
          <cell r="C83">
            <v>278</v>
          </cell>
          <cell r="D83">
            <v>764.9</v>
          </cell>
          <cell r="E83">
            <v>2.75</v>
          </cell>
          <cell r="F83">
            <v>955.7</v>
          </cell>
          <cell r="G83">
            <v>290.10000000000002</v>
          </cell>
          <cell r="H83">
            <v>61.2</v>
          </cell>
          <cell r="I83">
            <v>604.4</v>
          </cell>
          <cell r="J83">
            <v>1108.7</v>
          </cell>
          <cell r="K83">
            <v>94.5</v>
          </cell>
          <cell r="L83">
            <v>195.7</v>
          </cell>
          <cell r="M83">
            <v>38.6</v>
          </cell>
          <cell r="N83">
            <v>22.6</v>
          </cell>
          <cell r="O83">
            <v>85.8</v>
          </cell>
          <cell r="P83">
            <v>46</v>
          </cell>
          <cell r="Q83">
            <v>101.3</v>
          </cell>
          <cell r="R83">
            <v>371.3</v>
          </cell>
          <cell r="S83">
            <v>0</v>
          </cell>
          <cell r="T83">
            <v>0</v>
          </cell>
          <cell r="U83">
            <v>118.5</v>
          </cell>
          <cell r="V83">
            <v>34.5</v>
          </cell>
          <cell r="W83">
            <v>0</v>
          </cell>
          <cell r="X83">
            <v>0</v>
          </cell>
          <cell r="Y83">
            <v>14</v>
          </cell>
          <cell r="Z83">
            <v>0</v>
          </cell>
        </row>
        <row r="84">
          <cell r="A84">
            <v>43083</v>
          </cell>
          <cell r="B84">
            <v>83</v>
          </cell>
          <cell r="C84">
            <v>60.6</v>
          </cell>
          <cell r="D84">
            <v>92</v>
          </cell>
          <cell r="E84">
            <v>1.52</v>
          </cell>
          <cell r="F84">
            <v>1057.2</v>
          </cell>
          <cell r="G84">
            <v>121</v>
          </cell>
          <cell r="H84">
            <v>25.9</v>
          </cell>
          <cell r="I84">
            <v>910.3</v>
          </cell>
          <cell r="J84">
            <v>1094.8</v>
          </cell>
          <cell r="K84">
            <v>57.3</v>
          </cell>
          <cell r="L84">
            <v>63.6</v>
          </cell>
          <cell r="M84">
            <v>5.9</v>
          </cell>
          <cell r="N84">
            <v>20</v>
          </cell>
          <cell r="O84">
            <v>470.9</v>
          </cell>
          <cell r="P84">
            <v>19</v>
          </cell>
          <cell r="Q84">
            <v>30.4</v>
          </cell>
          <cell r="R84">
            <v>390.1</v>
          </cell>
          <cell r="S84">
            <v>0</v>
          </cell>
          <cell r="T84">
            <v>0</v>
          </cell>
          <cell r="U84">
            <v>30.1</v>
          </cell>
          <cell r="V84">
            <v>7.5</v>
          </cell>
          <cell r="W84">
            <v>0</v>
          </cell>
          <cell r="X84">
            <v>0</v>
          </cell>
          <cell r="Y84">
            <v>325</v>
          </cell>
          <cell r="Z84">
            <v>21</v>
          </cell>
        </row>
        <row r="85">
          <cell r="A85">
            <v>43084</v>
          </cell>
          <cell r="B85">
            <v>84</v>
          </cell>
          <cell r="C85">
            <v>130.1</v>
          </cell>
          <cell r="D85">
            <v>325.5</v>
          </cell>
          <cell r="E85">
            <v>2.5</v>
          </cell>
          <cell r="F85">
            <v>1680.9</v>
          </cell>
          <cell r="G85">
            <v>272.89999999999998</v>
          </cell>
          <cell r="H85">
            <v>53.9</v>
          </cell>
          <cell r="I85">
            <v>1354.1</v>
          </cell>
          <cell r="J85">
            <v>1708.6</v>
          </cell>
          <cell r="K85">
            <v>45</v>
          </cell>
          <cell r="L85">
            <v>227.9</v>
          </cell>
          <cell r="M85">
            <v>16.2</v>
          </cell>
          <cell r="N85">
            <v>37.700000000000003</v>
          </cell>
          <cell r="O85">
            <v>458.9</v>
          </cell>
          <cell r="P85">
            <v>88.7</v>
          </cell>
          <cell r="Q85">
            <v>150.80000000000001</v>
          </cell>
          <cell r="R85">
            <v>655.7</v>
          </cell>
          <cell r="S85">
            <v>0</v>
          </cell>
          <cell r="T85">
            <v>0</v>
          </cell>
          <cell r="U85">
            <v>11.4</v>
          </cell>
          <cell r="V85">
            <v>16.2</v>
          </cell>
          <cell r="W85">
            <v>6</v>
          </cell>
          <cell r="X85">
            <v>0</v>
          </cell>
          <cell r="Y85">
            <v>0</v>
          </cell>
          <cell r="Z85">
            <v>209</v>
          </cell>
        </row>
        <row r="86">
          <cell r="A86">
            <v>43085</v>
          </cell>
          <cell r="B86">
            <v>85</v>
          </cell>
          <cell r="C86">
            <v>211</v>
          </cell>
          <cell r="D86">
            <v>526.79999999999995</v>
          </cell>
          <cell r="E86">
            <v>2.5</v>
          </cell>
          <cell r="F86">
            <v>633.29999999999995</v>
          </cell>
          <cell r="G86">
            <v>21.6</v>
          </cell>
          <cell r="H86">
            <v>54.1</v>
          </cell>
          <cell r="I86">
            <v>557.6</v>
          </cell>
          <cell r="J86">
            <v>665.8</v>
          </cell>
          <cell r="K86">
            <v>7.6</v>
          </cell>
          <cell r="L86">
            <v>14</v>
          </cell>
          <cell r="M86">
            <v>2.8</v>
          </cell>
          <cell r="N86">
            <v>51.4</v>
          </cell>
          <cell r="O86">
            <v>234.4</v>
          </cell>
          <cell r="P86">
            <v>8.9</v>
          </cell>
          <cell r="Q86">
            <v>107.6</v>
          </cell>
          <cell r="R86">
            <v>206.6</v>
          </cell>
          <cell r="S86">
            <v>0</v>
          </cell>
          <cell r="T86">
            <v>0</v>
          </cell>
          <cell r="U86">
            <v>6.2</v>
          </cell>
          <cell r="V86">
            <v>26.2</v>
          </cell>
          <cell r="W86">
            <v>23</v>
          </cell>
          <cell r="X86">
            <v>0</v>
          </cell>
          <cell r="Y86">
            <v>216</v>
          </cell>
          <cell r="Z86">
            <v>0</v>
          </cell>
        </row>
        <row r="87">
          <cell r="A87">
            <v>43086</v>
          </cell>
          <cell r="B87">
            <v>86</v>
          </cell>
          <cell r="C87">
            <v>170.5</v>
          </cell>
          <cell r="D87">
            <v>348.6</v>
          </cell>
          <cell r="E87">
            <v>2.0499999999999998</v>
          </cell>
          <cell r="F87">
            <v>120</v>
          </cell>
          <cell r="G87">
            <v>13.6</v>
          </cell>
          <cell r="H87">
            <v>2.7</v>
          </cell>
          <cell r="I87">
            <v>103.6</v>
          </cell>
          <cell r="J87">
            <v>144.30000000000001</v>
          </cell>
          <cell r="K87">
            <v>1.4</v>
          </cell>
          <cell r="L87">
            <v>12.2</v>
          </cell>
          <cell r="M87">
            <v>0.5</v>
          </cell>
          <cell r="N87">
            <v>2.2000000000000002</v>
          </cell>
          <cell r="O87">
            <v>7</v>
          </cell>
          <cell r="P87">
            <v>1.6</v>
          </cell>
          <cell r="Q87">
            <v>1</v>
          </cell>
          <cell r="R87">
            <v>94</v>
          </cell>
          <cell r="S87">
            <v>0</v>
          </cell>
          <cell r="T87">
            <v>0</v>
          </cell>
          <cell r="U87">
            <v>3.1</v>
          </cell>
          <cell r="V87">
            <v>21.2</v>
          </cell>
          <cell r="W87">
            <v>33</v>
          </cell>
          <cell r="X87">
            <v>0</v>
          </cell>
          <cell r="Y87">
            <v>0</v>
          </cell>
          <cell r="Z87">
            <v>0</v>
          </cell>
        </row>
        <row r="88">
          <cell r="A88">
            <v>43087</v>
          </cell>
          <cell r="B88">
            <v>87</v>
          </cell>
          <cell r="C88">
            <v>0</v>
          </cell>
          <cell r="D88">
            <v>0</v>
          </cell>
          <cell r="E88">
            <v>0</v>
          </cell>
          <cell r="F88">
            <v>418.3</v>
          </cell>
          <cell r="G88">
            <v>91.1</v>
          </cell>
          <cell r="H88">
            <v>10.5</v>
          </cell>
          <cell r="I88">
            <v>316.7</v>
          </cell>
          <cell r="J88">
            <v>420.4</v>
          </cell>
          <cell r="K88">
            <v>56.7</v>
          </cell>
          <cell r="L88">
            <v>34.4</v>
          </cell>
          <cell r="M88">
            <v>4.4000000000000004</v>
          </cell>
          <cell r="N88">
            <v>6.1</v>
          </cell>
          <cell r="O88">
            <v>24.1</v>
          </cell>
          <cell r="P88">
            <v>14.1</v>
          </cell>
          <cell r="Q88">
            <v>8.1999999999999993</v>
          </cell>
          <cell r="R88">
            <v>270.3</v>
          </cell>
          <cell r="S88">
            <v>0</v>
          </cell>
          <cell r="T88">
            <v>0</v>
          </cell>
          <cell r="U88">
            <v>2.1</v>
          </cell>
          <cell r="V88">
            <v>0</v>
          </cell>
          <cell r="W88">
            <v>0</v>
          </cell>
          <cell r="X88">
            <v>0</v>
          </cell>
          <cell r="Y88">
            <v>34</v>
          </cell>
          <cell r="Z88">
            <v>0</v>
          </cell>
        </row>
        <row r="89">
          <cell r="A89">
            <v>43088</v>
          </cell>
          <cell r="B89">
            <v>88</v>
          </cell>
          <cell r="C89">
            <v>0</v>
          </cell>
          <cell r="D89">
            <v>0</v>
          </cell>
          <cell r="E89">
            <v>0</v>
          </cell>
          <cell r="F89">
            <v>477.8</v>
          </cell>
          <cell r="G89">
            <v>51.9</v>
          </cell>
          <cell r="H89">
            <v>205.5</v>
          </cell>
          <cell r="I89">
            <v>220.4</v>
          </cell>
          <cell r="J89">
            <v>481.9</v>
          </cell>
          <cell r="K89">
            <v>18.600000000000001</v>
          </cell>
          <cell r="L89">
            <v>33.299999999999997</v>
          </cell>
          <cell r="M89">
            <v>20.399999999999999</v>
          </cell>
          <cell r="N89">
            <v>185.1</v>
          </cell>
          <cell r="O89">
            <v>63.7</v>
          </cell>
          <cell r="P89">
            <v>27.4</v>
          </cell>
          <cell r="Q89">
            <v>12.5</v>
          </cell>
          <cell r="R89">
            <v>116.8</v>
          </cell>
          <cell r="S89">
            <v>0</v>
          </cell>
          <cell r="T89">
            <v>0</v>
          </cell>
          <cell r="U89">
            <v>4.2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</row>
        <row r="90">
          <cell r="A90">
            <v>43089</v>
          </cell>
          <cell r="B90">
            <v>89</v>
          </cell>
          <cell r="C90">
            <v>157.69999999999999</v>
          </cell>
          <cell r="D90">
            <v>555.9</v>
          </cell>
          <cell r="E90">
            <v>3.53</v>
          </cell>
          <cell r="F90">
            <v>160.19999999999999</v>
          </cell>
          <cell r="G90">
            <v>16.100000000000001</v>
          </cell>
          <cell r="H90">
            <v>4.9000000000000004</v>
          </cell>
          <cell r="I90">
            <v>139.19999999999999</v>
          </cell>
          <cell r="J90">
            <v>186.1</v>
          </cell>
          <cell r="K90">
            <v>5.7</v>
          </cell>
          <cell r="L90">
            <v>10.3</v>
          </cell>
          <cell r="M90">
            <v>2.1</v>
          </cell>
          <cell r="N90">
            <v>2.9</v>
          </cell>
          <cell r="O90">
            <v>18.100000000000001</v>
          </cell>
          <cell r="P90">
            <v>6.7</v>
          </cell>
          <cell r="Q90">
            <v>3.9</v>
          </cell>
          <cell r="R90">
            <v>110.6</v>
          </cell>
          <cell r="S90">
            <v>0</v>
          </cell>
          <cell r="T90">
            <v>0</v>
          </cell>
          <cell r="U90">
            <v>6.2</v>
          </cell>
          <cell r="V90">
            <v>19.600000000000001</v>
          </cell>
          <cell r="W90">
            <v>0</v>
          </cell>
          <cell r="X90">
            <v>0</v>
          </cell>
          <cell r="Y90">
            <v>98</v>
          </cell>
          <cell r="Z90">
            <v>0</v>
          </cell>
        </row>
        <row r="91">
          <cell r="A91">
            <v>43090</v>
          </cell>
          <cell r="B91">
            <v>90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17</v>
          </cell>
          <cell r="Z91">
            <v>0</v>
          </cell>
        </row>
        <row r="92">
          <cell r="A92">
            <v>43091</v>
          </cell>
          <cell r="B92">
            <v>91</v>
          </cell>
          <cell r="C92">
            <v>72.7</v>
          </cell>
          <cell r="D92">
            <v>149.80000000000001</v>
          </cell>
          <cell r="E92">
            <v>2.06</v>
          </cell>
          <cell r="F92">
            <v>892.5</v>
          </cell>
          <cell r="G92">
            <v>275.7</v>
          </cell>
          <cell r="H92">
            <v>51.2</v>
          </cell>
          <cell r="I92">
            <v>565.70000000000005</v>
          </cell>
          <cell r="J92">
            <v>956.6</v>
          </cell>
          <cell r="K92">
            <v>93.3</v>
          </cell>
          <cell r="L92">
            <v>182.4</v>
          </cell>
          <cell r="M92">
            <v>24.9</v>
          </cell>
          <cell r="N92">
            <v>26.3</v>
          </cell>
          <cell r="O92">
            <v>118.6</v>
          </cell>
          <cell r="P92">
            <v>60.8</v>
          </cell>
          <cell r="Q92">
            <v>35.299999999999997</v>
          </cell>
          <cell r="R92">
            <v>350.9</v>
          </cell>
          <cell r="S92">
            <v>0</v>
          </cell>
          <cell r="T92">
            <v>0</v>
          </cell>
          <cell r="U92">
            <v>55.1</v>
          </cell>
          <cell r="V92">
            <v>9</v>
          </cell>
          <cell r="W92">
            <v>0</v>
          </cell>
          <cell r="X92">
            <v>0</v>
          </cell>
          <cell r="Y92">
            <v>416</v>
          </cell>
          <cell r="Z92">
            <v>303</v>
          </cell>
        </row>
        <row r="93">
          <cell r="A93">
            <v>43092</v>
          </cell>
          <cell r="B93">
            <v>92</v>
          </cell>
          <cell r="C93">
            <v>219.8</v>
          </cell>
          <cell r="D93">
            <v>465.2</v>
          </cell>
          <cell r="E93">
            <v>2.12</v>
          </cell>
          <cell r="F93">
            <v>1381.5</v>
          </cell>
          <cell r="G93">
            <v>60.6</v>
          </cell>
          <cell r="H93">
            <v>18.600000000000001</v>
          </cell>
          <cell r="I93">
            <v>1302.3</v>
          </cell>
          <cell r="J93">
            <v>1418.2</v>
          </cell>
          <cell r="K93">
            <v>21.4</v>
          </cell>
          <cell r="L93">
            <v>39.200000000000003</v>
          </cell>
          <cell r="M93">
            <v>7.8</v>
          </cell>
          <cell r="N93">
            <v>10.9</v>
          </cell>
          <cell r="O93">
            <v>43.2</v>
          </cell>
          <cell r="P93">
            <v>25.1</v>
          </cell>
          <cell r="Q93">
            <v>29.1</v>
          </cell>
          <cell r="R93">
            <v>1204.9000000000001</v>
          </cell>
          <cell r="S93">
            <v>0</v>
          </cell>
          <cell r="T93">
            <v>0</v>
          </cell>
          <cell r="U93">
            <v>9.4</v>
          </cell>
          <cell r="V93">
            <v>27.3</v>
          </cell>
          <cell r="W93">
            <v>485</v>
          </cell>
          <cell r="X93">
            <v>0</v>
          </cell>
          <cell r="Y93">
            <v>75</v>
          </cell>
          <cell r="Z93">
            <v>32</v>
          </cell>
        </row>
        <row r="94">
          <cell r="A94">
            <v>43093</v>
          </cell>
          <cell r="B94">
            <v>93</v>
          </cell>
          <cell r="C94">
            <v>124</v>
          </cell>
          <cell r="D94">
            <v>221.1</v>
          </cell>
          <cell r="E94">
            <v>1.78</v>
          </cell>
          <cell r="F94">
            <v>1065.0999999999999</v>
          </cell>
          <cell r="G94">
            <v>514.9</v>
          </cell>
          <cell r="H94">
            <v>34.299999999999997</v>
          </cell>
          <cell r="I94">
            <v>515.9</v>
          </cell>
          <cell r="J94">
            <v>1108.5999999999999</v>
          </cell>
          <cell r="K94">
            <v>83.4</v>
          </cell>
          <cell r="L94">
            <v>431.5</v>
          </cell>
          <cell r="M94">
            <v>16</v>
          </cell>
          <cell r="N94">
            <v>18.3</v>
          </cell>
          <cell r="O94">
            <v>72.3</v>
          </cell>
          <cell r="P94">
            <v>50.9</v>
          </cell>
          <cell r="Q94">
            <v>24.6</v>
          </cell>
          <cell r="R94">
            <v>368.1</v>
          </cell>
          <cell r="S94">
            <v>0</v>
          </cell>
          <cell r="T94">
            <v>0</v>
          </cell>
          <cell r="U94">
            <v>28.1</v>
          </cell>
          <cell r="V94">
            <v>15.4</v>
          </cell>
          <cell r="W94">
            <v>280</v>
          </cell>
          <cell r="X94">
            <v>0</v>
          </cell>
          <cell r="Y94">
            <v>181</v>
          </cell>
          <cell r="Z94">
            <v>0</v>
          </cell>
        </row>
        <row r="95">
          <cell r="A95">
            <v>43094</v>
          </cell>
          <cell r="B95">
            <v>94</v>
          </cell>
          <cell r="C95">
            <v>132.6</v>
          </cell>
          <cell r="D95">
            <v>242.5</v>
          </cell>
          <cell r="E95">
            <v>1.83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56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39.5</v>
          </cell>
          <cell r="V95">
            <v>16.5</v>
          </cell>
          <cell r="W95">
            <v>48</v>
          </cell>
          <cell r="X95">
            <v>0</v>
          </cell>
          <cell r="Y95">
            <v>0</v>
          </cell>
          <cell r="Z95">
            <v>0</v>
          </cell>
        </row>
        <row r="96">
          <cell r="A96">
            <v>43095</v>
          </cell>
          <cell r="B96">
            <v>95</v>
          </cell>
          <cell r="C96">
            <v>72.099999999999994</v>
          </cell>
          <cell r="D96">
            <v>132.69999999999999</v>
          </cell>
          <cell r="E96">
            <v>1.84</v>
          </cell>
          <cell r="F96">
            <v>18.2</v>
          </cell>
          <cell r="G96">
            <v>12.1</v>
          </cell>
          <cell r="H96">
            <v>0.2</v>
          </cell>
          <cell r="I96">
            <v>5.8</v>
          </cell>
          <cell r="J96">
            <v>28.2</v>
          </cell>
          <cell r="K96">
            <v>0.2</v>
          </cell>
          <cell r="L96">
            <v>11.9</v>
          </cell>
          <cell r="M96">
            <v>0.1</v>
          </cell>
          <cell r="N96">
            <v>0.1</v>
          </cell>
          <cell r="O96">
            <v>4.4000000000000004</v>
          </cell>
          <cell r="P96">
            <v>0.2</v>
          </cell>
          <cell r="Q96">
            <v>0.1</v>
          </cell>
          <cell r="R96">
            <v>1.1000000000000001</v>
          </cell>
          <cell r="S96">
            <v>0</v>
          </cell>
          <cell r="T96">
            <v>0</v>
          </cell>
          <cell r="U96">
            <v>1</v>
          </cell>
          <cell r="V96">
            <v>9</v>
          </cell>
          <cell r="W96">
            <v>69</v>
          </cell>
          <cell r="X96">
            <v>0</v>
          </cell>
          <cell r="Y96">
            <v>0</v>
          </cell>
          <cell r="Z96">
            <v>0</v>
          </cell>
        </row>
        <row r="97">
          <cell r="A97">
            <v>43096</v>
          </cell>
          <cell r="B97">
            <v>96</v>
          </cell>
          <cell r="C97">
            <v>145.5</v>
          </cell>
          <cell r="D97">
            <v>288.7</v>
          </cell>
          <cell r="E97">
            <v>1.98</v>
          </cell>
          <cell r="F97">
            <v>25.3</v>
          </cell>
          <cell r="G97">
            <v>2.1</v>
          </cell>
          <cell r="H97">
            <v>0.3</v>
          </cell>
          <cell r="I97">
            <v>23</v>
          </cell>
          <cell r="J97">
            <v>72.599999999999994</v>
          </cell>
          <cell r="K97">
            <v>1.5</v>
          </cell>
          <cell r="L97">
            <v>0.6</v>
          </cell>
          <cell r="M97">
            <v>0.1</v>
          </cell>
          <cell r="N97">
            <v>0.2</v>
          </cell>
          <cell r="O97">
            <v>4.3</v>
          </cell>
          <cell r="P97">
            <v>0.4</v>
          </cell>
          <cell r="Q97">
            <v>0.2</v>
          </cell>
          <cell r="R97">
            <v>18</v>
          </cell>
          <cell r="S97">
            <v>0</v>
          </cell>
          <cell r="T97">
            <v>0</v>
          </cell>
          <cell r="U97">
            <v>29.1</v>
          </cell>
          <cell r="V97">
            <v>18.100000000000001</v>
          </cell>
          <cell r="W97">
            <v>210</v>
          </cell>
          <cell r="X97">
            <v>0</v>
          </cell>
          <cell r="Y97">
            <v>210</v>
          </cell>
          <cell r="Z97">
            <v>0</v>
          </cell>
        </row>
        <row r="98">
          <cell r="A98">
            <v>43097</v>
          </cell>
          <cell r="B98">
            <v>97</v>
          </cell>
          <cell r="C98">
            <v>195</v>
          </cell>
          <cell r="D98">
            <v>274.7</v>
          </cell>
          <cell r="E98">
            <v>1.41</v>
          </cell>
          <cell r="F98">
            <v>228.7</v>
          </cell>
          <cell r="G98">
            <v>114.8</v>
          </cell>
          <cell r="H98">
            <v>7.4</v>
          </cell>
          <cell r="I98">
            <v>106.5</v>
          </cell>
          <cell r="J98">
            <v>276.89999999999998</v>
          </cell>
          <cell r="K98">
            <v>3</v>
          </cell>
          <cell r="L98">
            <v>111.8</v>
          </cell>
          <cell r="M98">
            <v>3.7</v>
          </cell>
          <cell r="N98">
            <v>3.6</v>
          </cell>
          <cell r="O98">
            <v>73.3</v>
          </cell>
          <cell r="P98">
            <v>3.5</v>
          </cell>
          <cell r="Q98">
            <v>2.6</v>
          </cell>
          <cell r="R98">
            <v>27.1</v>
          </cell>
          <cell r="S98">
            <v>0</v>
          </cell>
          <cell r="T98">
            <v>18.899999999999999</v>
          </cell>
          <cell r="U98">
            <v>5.2</v>
          </cell>
          <cell r="V98">
            <v>24.2</v>
          </cell>
          <cell r="W98">
            <v>220</v>
          </cell>
          <cell r="X98">
            <v>0</v>
          </cell>
          <cell r="Y98">
            <v>0</v>
          </cell>
          <cell r="Z98">
            <v>12</v>
          </cell>
        </row>
        <row r="99">
          <cell r="A99">
            <v>43098</v>
          </cell>
          <cell r="B99">
            <v>98</v>
          </cell>
          <cell r="C99">
            <v>86.8</v>
          </cell>
          <cell r="D99">
            <v>141.80000000000001</v>
          </cell>
          <cell r="E99">
            <v>1.63</v>
          </cell>
          <cell r="F99">
            <v>2376.3000000000002</v>
          </cell>
          <cell r="G99">
            <v>1197.5</v>
          </cell>
          <cell r="H99">
            <v>49.7</v>
          </cell>
          <cell r="I99">
            <v>1129.0999999999999</v>
          </cell>
          <cell r="J99">
            <v>2394.4</v>
          </cell>
          <cell r="K99">
            <v>262.3</v>
          </cell>
          <cell r="L99">
            <v>935.2</v>
          </cell>
          <cell r="M99">
            <v>32.200000000000003</v>
          </cell>
          <cell r="N99">
            <v>17.5</v>
          </cell>
          <cell r="O99">
            <v>348.8</v>
          </cell>
          <cell r="P99">
            <v>326.8</v>
          </cell>
          <cell r="Q99">
            <v>23.5</v>
          </cell>
          <cell r="R99">
            <v>430</v>
          </cell>
          <cell r="S99">
            <v>0</v>
          </cell>
          <cell r="T99">
            <v>0</v>
          </cell>
          <cell r="U99">
            <v>7.3</v>
          </cell>
          <cell r="V99">
            <v>10.8</v>
          </cell>
          <cell r="W99">
            <v>59</v>
          </cell>
          <cell r="X99">
            <v>0</v>
          </cell>
          <cell r="Y99">
            <v>59</v>
          </cell>
          <cell r="Z99">
            <v>0</v>
          </cell>
        </row>
        <row r="100">
          <cell r="A100">
            <v>43099</v>
          </cell>
          <cell r="B100">
            <v>99</v>
          </cell>
          <cell r="C100">
            <v>155.6</v>
          </cell>
          <cell r="D100">
            <v>255.5</v>
          </cell>
          <cell r="E100">
            <v>1.64</v>
          </cell>
          <cell r="F100">
            <v>7.4</v>
          </cell>
          <cell r="G100">
            <v>0.3</v>
          </cell>
          <cell r="H100">
            <v>0.1</v>
          </cell>
          <cell r="I100">
            <v>7.1</v>
          </cell>
          <cell r="J100">
            <v>66.2</v>
          </cell>
          <cell r="K100">
            <v>0.1</v>
          </cell>
          <cell r="L100">
            <v>0.2</v>
          </cell>
          <cell r="M100">
            <v>0</v>
          </cell>
          <cell r="N100">
            <v>0</v>
          </cell>
          <cell r="O100">
            <v>4</v>
          </cell>
          <cell r="P100">
            <v>0.1</v>
          </cell>
          <cell r="Q100">
            <v>1</v>
          </cell>
          <cell r="R100">
            <v>2</v>
          </cell>
          <cell r="S100">
            <v>0</v>
          </cell>
          <cell r="T100">
            <v>0</v>
          </cell>
          <cell r="U100">
            <v>39.5</v>
          </cell>
          <cell r="V100">
            <v>19.3</v>
          </cell>
          <cell r="W100">
            <v>115</v>
          </cell>
          <cell r="X100">
            <v>0</v>
          </cell>
          <cell r="Y100">
            <v>0</v>
          </cell>
          <cell r="Z100">
            <v>0</v>
          </cell>
        </row>
        <row r="101">
          <cell r="A101">
            <v>43100</v>
          </cell>
          <cell r="B101">
            <v>100</v>
          </cell>
          <cell r="C101">
            <v>154.69999999999999</v>
          </cell>
          <cell r="D101">
            <v>325</v>
          </cell>
          <cell r="E101">
            <v>2.1008403360000001</v>
          </cell>
          <cell r="F101">
            <v>1945.2</v>
          </cell>
          <cell r="G101">
            <v>65.2</v>
          </cell>
          <cell r="H101">
            <v>20.100000000000001</v>
          </cell>
          <cell r="I101">
            <v>1859.9</v>
          </cell>
          <cell r="J101">
            <v>2015.7</v>
          </cell>
          <cell r="K101">
            <v>23</v>
          </cell>
          <cell r="L101">
            <v>42.2</v>
          </cell>
          <cell r="M101">
            <v>8.3000000000000007</v>
          </cell>
          <cell r="N101">
            <v>11.7</v>
          </cell>
          <cell r="O101">
            <v>59.2</v>
          </cell>
          <cell r="P101">
            <v>27</v>
          </cell>
          <cell r="Q101">
            <v>15.8</v>
          </cell>
          <cell r="R101">
            <v>1758</v>
          </cell>
          <cell r="S101">
            <v>0</v>
          </cell>
          <cell r="T101">
            <v>0</v>
          </cell>
          <cell r="U101">
            <v>56.1</v>
          </cell>
          <cell r="V101">
            <v>14.4</v>
          </cell>
          <cell r="W101">
            <v>0</v>
          </cell>
          <cell r="X101">
            <v>0</v>
          </cell>
          <cell r="Y101">
            <v>751</v>
          </cell>
          <cell r="Z101">
            <v>297</v>
          </cell>
        </row>
        <row r="102">
          <cell r="A102">
            <v>43101</v>
          </cell>
          <cell r="B102">
            <v>101</v>
          </cell>
          <cell r="C102">
            <v>52.5</v>
          </cell>
          <cell r="D102">
            <v>124.3</v>
          </cell>
          <cell r="E102">
            <v>2.37</v>
          </cell>
          <cell r="F102">
            <v>5.7</v>
          </cell>
          <cell r="G102">
            <v>0.2</v>
          </cell>
          <cell r="H102">
            <v>0.1</v>
          </cell>
          <cell r="I102">
            <v>5.5</v>
          </cell>
          <cell r="J102">
            <v>15.4</v>
          </cell>
          <cell r="K102">
            <v>0.1</v>
          </cell>
          <cell r="L102">
            <v>0.1</v>
          </cell>
          <cell r="M102">
            <v>0</v>
          </cell>
          <cell r="N102">
            <v>0</v>
          </cell>
          <cell r="O102">
            <v>0.1</v>
          </cell>
          <cell r="P102">
            <v>1.3</v>
          </cell>
          <cell r="Q102">
            <v>0</v>
          </cell>
          <cell r="R102">
            <v>4</v>
          </cell>
          <cell r="S102">
            <v>0</v>
          </cell>
          <cell r="T102">
            <v>0</v>
          </cell>
          <cell r="U102">
            <v>3.1</v>
          </cell>
          <cell r="V102">
            <v>6.5</v>
          </cell>
          <cell r="W102">
            <v>145</v>
          </cell>
          <cell r="X102">
            <v>0</v>
          </cell>
          <cell r="Y102">
            <v>50</v>
          </cell>
          <cell r="Z102">
            <v>0</v>
          </cell>
        </row>
        <row r="103">
          <cell r="A103">
            <v>43102</v>
          </cell>
          <cell r="B103">
            <v>102</v>
          </cell>
          <cell r="C103">
            <v>0</v>
          </cell>
          <cell r="D103">
            <v>0</v>
          </cell>
          <cell r="E103">
            <v>0</v>
          </cell>
          <cell r="F103">
            <v>512.4</v>
          </cell>
          <cell r="G103">
            <v>443.9</v>
          </cell>
          <cell r="H103">
            <v>6</v>
          </cell>
          <cell r="I103">
            <v>62.5</v>
          </cell>
          <cell r="J103">
            <v>513.4</v>
          </cell>
          <cell r="K103">
            <v>6.8</v>
          </cell>
          <cell r="L103">
            <v>437.1</v>
          </cell>
          <cell r="M103">
            <v>2.5</v>
          </cell>
          <cell r="N103">
            <v>3.5</v>
          </cell>
          <cell r="O103">
            <v>13.8</v>
          </cell>
          <cell r="P103">
            <v>8</v>
          </cell>
          <cell r="Q103">
            <v>4.7</v>
          </cell>
          <cell r="R103">
            <v>36</v>
          </cell>
          <cell r="S103">
            <v>0</v>
          </cell>
          <cell r="T103">
            <v>0</v>
          </cell>
          <cell r="U103">
            <v>1</v>
          </cell>
          <cell r="V103">
            <v>0</v>
          </cell>
          <cell r="W103">
            <v>0</v>
          </cell>
          <cell r="X103">
            <v>0</v>
          </cell>
          <cell r="Y103">
            <v>96</v>
          </cell>
          <cell r="Z103">
            <v>142</v>
          </cell>
        </row>
        <row r="104">
          <cell r="A104">
            <v>43103</v>
          </cell>
          <cell r="B104">
            <v>103</v>
          </cell>
          <cell r="C104">
            <v>50.1</v>
          </cell>
          <cell r="D104">
            <v>75.2</v>
          </cell>
          <cell r="E104">
            <v>1.5</v>
          </cell>
          <cell r="F104">
            <v>19.7</v>
          </cell>
          <cell r="G104">
            <v>2.4</v>
          </cell>
          <cell r="H104">
            <v>0.7</v>
          </cell>
          <cell r="I104">
            <v>16.600000000000001</v>
          </cell>
          <cell r="J104">
            <v>45.7</v>
          </cell>
          <cell r="K104">
            <v>0.8</v>
          </cell>
          <cell r="L104">
            <v>1.5</v>
          </cell>
          <cell r="M104">
            <v>0.3</v>
          </cell>
          <cell r="N104">
            <v>0.4</v>
          </cell>
          <cell r="O104">
            <v>1.7</v>
          </cell>
          <cell r="P104">
            <v>1</v>
          </cell>
          <cell r="Q104">
            <v>0.6</v>
          </cell>
          <cell r="R104">
            <v>13.4</v>
          </cell>
          <cell r="S104">
            <v>0</v>
          </cell>
          <cell r="T104">
            <v>0</v>
          </cell>
          <cell r="U104">
            <v>19.8</v>
          </cell>
          <cell r="V104">
            <v>6.2</v>
          </cell>
          <cell r="W104">
            <v>0</v>
          </cell>
          <cell r="X104">
            <v>0</v>
          </cell>
          <cell r="Y104">
            <v>283</v>
          </cell>
          <cell r="Z104">
            <v>0</v>
          </cell>
        </row>
        <row r="105">
          <cell r="A105">
            <v>43104</v>
          </cell>
          <cell r="B105">
            <v>104</v>
          </cell>
          <cell r="C105">
            <v>67.3</v>
          </cell>
          <cell r="D105">
            <v>106.4</v>
          </cell>
          <cell r="E105">
            <v>1.58</v>
          </cell>
          <cell r="F105">
            <v>545.1</v>
          </cell>
          <cell r="G105">
            <v>467.5</v>
          </cell>
          <cell r="H105">
            <v>6.3</v>
          </cell>
          <cell r="I105">
            <v>71.400000000000006</v>
          </cell>
          <cell r="J105">
            <v>556.70000000000005</v>
          </cell>
          <cell r="K105">
            <v>15.2</v>
          </cell>
          <cell r="L105">
            <v>452.2</v>
          </cell>
          <cell r="M105">
            <v>2.6</v>
          </cell>
          <cell r="N105">
            <v>3.7</v>
          </cell>
          <cell r="O105">
            <v>19.899999999999999</v>
          </cell>
          <cell r="P105">
            <v>8.5</v>
          </cell>
          <cell r="Q105">
            <v>5</v>
          </cell>
          <cell r="R105">
            <v>38</v>
          </cell>
          <cell r="S105">
            <v>0</v>
          </cell>
          <cell r="T105">
            <v>0</v>
          </cell>
          <cell r="U105">
            <v>3.1</v>
          </cell>
          <cell r="V105">
            <v>8.4</v>
          </cell>
          <cell r="W105">
            <v>0</v>
          </cell>
          <cell r="X105">
            <v>0</v>
          </cell>
          <cell r="Y105">
            <v>617</v>
          </cell>
          <cell r="Z105">
            <v>132</v>
          </cell>
        </row>
        <row r="106">
          <cell r="A106">
            <v>43105</v>
          </cell>
          <cell r="B106">
            <v>105</v>
          </cell>
          <cell r="C106">
            <v>196</v>
          </cell>
          <cell r="D106">
            <v>547.6</v>
          </cell>
          <cell r="E106">
            <v>2.79</v>
          </cell>
          <cell r="F106">
            <v>98</v>
          </cell>
          <cell r="G106">
            <v>9.5</v>
          </cell>
          <cell r="H106">
            <v>5.2</v>
          </cell>
          <cell r="I106">
            <v>83.3</v>
          </cell>
          <cell r="J106">
            <v>147.30000000000001</v>
          </cell>
          <cell r="K106">
            <v>1.1000000000000001</v>
          </cell>
          <cell r="L106">
            <v>8.4</v>
          </cell>
          <cell r="M106">
            <v>0.3</v>
          </cell>
          <cell r="N106">
            <v>5</v>
          </cell>
          <cell r="O106">
            <v>36.799999999999997</v>
          </cell>
          <cell r="P106">
            <v>0.8</v>
          </cell>
          <cell r="Q106">
            <v>0.5</v>
          </cell>
          <cell r="R106">
            <v>45.2</v>
          </cell>
          <cell r="S106">
            <v>0</v>
          </cell>
          <cell r="T106">
            <v>0</v>
          </cell>
          <cell r="U106">
            <v>25</v>
          </cell>
          <cell r="V106">
            <v>24.4</v>
          </cell>
          <cell r="W106">
            <v>23</v>
          </cell>
          <cell r="X106">
            <v>0</v>
          </cell>
          <cell r="Y106">
            <v>0</v>
          </cell>
          <cell r="Z106">
            <v>0</v>
          </cell>
        </row>
        <row r="107">
          <cell r="A107">
            <v>43106</v>
          </cell>
          <cell r="B107">
            <v>106</v>
          </cell>
          <cell r="C107">
            <v>109.5</v>
          </cell>
          <cell r="D107">
            <v>304.8</v>
          </cell>
          <cell r="E107">
            <v>2.78</v>
          </cell>
          <cell r="F107">
            <v>41.8</v>
          </cell>
          <cell r="G107">
            <v>0.3</v>
          </cell>
          <cell r="H107">
            <v>3.9</v>
          </cell>
          <cell r="I107">
            <v>37.6</v>
          </cell>
          <cell r="J107">
            <v>58.5</v>
          </cell>
          <cell r="K107">
            <v>0.1</v>
          </cell>
          <cell r="L107">
            <v>0.2</v>
          </cell>
          <cell r="M107">
            <v>0</v>
          </cell>
          <cell r="N107">
            <v>3.8</v>
          </cell>
          <cell r="O107">
            <v>0.2</v>
          </cell>
          <cell r="P107">
            <v>0.1</v>
          </cell>
          <cell r="Q107">
            <v>0.8</v>
          </cell>
          <cell r="R107">
            <v>36.4</v>
          </cell>
          <cell r="S107">
            <v>0</v>
          </cell>
          <cell r="T107">
            <v>0</v>
          </cell>
          <cell r="U107">
            <v>3.1</v>
          </cell>
          <cell r="V107">
            <v>13.6</v>
          </cell>
          <cell r="W107">
            <v>17</v>
          </cell>
          <cell r="X107">
            <v>0</v>
          </cell>
          <cell r="Y107">
            <v>0</v>
          </cell>
          <cell r="Z107">
            <v>0</v>
          </cell>
        </row>
        <row r="108">
          <cell r="A108">
            <v>43107</v>
          </cell>
          <cell r="B108">
            <v>107</v>
          </cell>
          <cell r="C108">
            <v>1</v>
          </cell>
          <cell r="D108">
            <v>2.4</v>
          </cell>
          <cell r="E108">
            <v>2.42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0.1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0.1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</row>
        <row r="109">
          <cell r="A109">
            <v>43108</v>
          </cell>
          <cell r="B109">
            <v>108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</row>
        <row r="110">
          <cell r="A110">
            <v>43109</v>
          </cell>
          <cell r="B110">
            <v>109</v>
          </cell>
          <cell r="C110">
            <v>192</v>
          </cell>
          <cell r="D110">
            <v>382.1</v>
          </cell>
          <cell r="E110">
            <v>1.99</v>
          </cell>
          <cell r="F110">
            <v>191.5</v>
          </cell>
          <cell r="G110">
            <v>1.1000000000000001</v>
          </cell>
          <cell r="H110">
            <v>10</v>
          </cell>
          <cell r="I110">
            <v>180.4</v>
          </cell>
          <cell r="J110">
            <v>259</v>
          </cell>
          <cell r="K110">
            <v>0.4</v>
          </cell>
          <cell r="L110">
            <v>0.7</v>
          </cell>
          <cell r="M110">
            <v>0.1</v>
          </cell>
          <cell r="N110">
            <v>9.8000000000000007</v>
          </cell>
          <cell r="O110">
            <v>72.5</v>
          </cell>
          <cell r="P110">
            <v>0.4</v>
          </cell>
          <cell r="Q110">
            <v>4.2</v>
          </cell>
          <cell r="R110">
            <v>103.3</v>
          </cell>
          <cell r="S110">
            <v>0</v>
          </cell>
          <cell r="T110">
            <v>0</v>
          </cell>
          <cell r="U110">
            <v>43.7</v>
          </cell>
          <cell r="V110">
            <v>23.9</v>
          </cell>
          <cell r="W110">
            <v>253</v>
          </cell>
          <cell r="X110">
            <v>0</v>
          </cell>
          <cell r="Y110">
            <v>0</v>
          </cell>
          <cell r="Z110">
            <v>0</v>
          </cell>
        </row>
        <row r="111">
          <cell r="A111">
            <v>43110</v>
          </cell>
          <cell r="B111">
            <v>110</v>
          </cell>
          <cell r="C111">
            <v>86.5</v>
          </cell>
          <cell r="D111">
            <v>205.6</v>
          </cell>
          <cell r="E111">
            <v>2.38</v>
          </cell>
          <cell r="F111">
            <v>13.1</v>
          </cell>
          <cell r="G111">
            <v>3.8</v>
          </cell>
          <cell r="H111">
            <v>1.3</v>
          </cell>
          <cell r="I111">
            <v>8</v>
          </cell>
          <cell r="J111">
            <v>73.7</v>
          </cell>
          <cell r="K111">
            <v>3.3</v>
          </cell>
          <cell r="L111">
            <v>0.5</v>
          </cell>
          <cell r="M111">
            <v>0.1</v>
          </cell>
          <cell r="N111">
            <v>1.2</v>
          </cell>
          <cell r="O111">
            <v>2.5</v>
          </cell>
          <cell r="P111">
            <v>0.3</v>
          </cell>
          <cell r="Q111">
            <v>0.2</v>
          </cell>
          <cell r="R111">
            <v>5</v>
          </cell>
          <cell r="S111">
            <v>0</v>
          </cell>
          <cell r="T111">
            <v>0</v>
          </cell>
          <cell r="U111">
            <v>49.9</v>
          </cell>
          <cell r="V111">
            <v>10.7</v>
          </cell>
          <cell r="W111">
            <v>210</v>
          </cell>
          <cell r="X111">
            <v>0</v>
          </cell>
          <cell r="Y111">
            <v>0</v>
          </cell>
          <cell r="Z111">
            <v>0</v>
          </cell>
        </row>
        <row r="112">
          <cell r="A112">
            <v>43111</v>
          </cell>
          <cell r="B112">
            <v>111</v>
          </cell>
          <cell r="C112">
            <v>28.1</v>
          </cell>
          <cell r="D112">
            <v>96</v>
          </cell>
          <cell r="E112">
            <v>3.42</v>
          </cell>
          <cell r="F112">
            <v>1.7</v>
          </cell>
          <cell r="G112">
            <v>0</v>
          </cell>
          <cell r="H112">
            <v>0</v>
          </cell>
          <cell r="I112">
            <v>1.7</v>
          </cell>
          <cell r="J112">
            <v>21.9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1.7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16.600000000000001</v>
          </cell>
          <cell r="V112">
            <v>3.5</v>
          </cell>
          <cell r="W112">
            <v>65</v>
          </cell>
          <cell r="X112">
            <v>0</v>
          </cell>
          <cell r="Y112">
            <v>0</v>
          </cell>
          <cell r="Z112">
            <v>0</v>
          </cell>
        </row>
        <row r="113">
          <cell r="A113">
            <v>43112</v>
          </cell>
          <cell r="B113">
            <v>112</v>
          </cell>
          <cell r="C113">
            <v>92.9</v>
          </cell>
          <cell r="D113">
            <v>287.7</v>
          </cell>
          <cell r="E113">
            <v>3.1</v>
          </cell>
          <cell r="F113">
            <v>72.7</v>
          </cell>
          <cell r="G113">
            <v>10.6</v>
          </cell>
          <cell r="H113">
            <v>3.4</v>
          </cell>
          <cell r="I113">
            <v>58.7</v>
          </cell>
          <cell r="J113">
            <v>86.3</v>
          </cell>
          <cell r="K113">
            <v>3.7</v>
          </cell>
          <cell r="L113">
            <v>6.8</v>
          </cell>
          <cell r="M113">
            <v>1.4</v>
          </cell>
          <cell r="N113">
            <v>2.1</v>
          </cell>
          <cell r="O113">
            <v>7.5</v>
          </cell>
          <cell r="P113">
            <v>4.4000000000000004</v>
          </cell>
          <cell r="Q113">
            <v>3.5</v>
          </cell>
          <cell r="R113">
            <v>43.3</v>
          </cell>
          <cell r="S113">
            <v>0</v>
          </cell>
          <cell r="T113">
            <v>0</v>
          </cell>
          <cell r="U113">
            <v>2.1</v>
          </cell>
          <cell r="V113">
            <v>11.5</v>
          </cell>
          <cell r="W113">
            <v>23</v>
          </cell>
          <cell r="X113">
            <v>0</v>
          </cell>
          <cell r="Y113">
            <v>0</v>
          </cell>
          <cell r="Z113">
            <v>0</v>
          </cell>
        </row>
        <row r="114">
          <cell r="A114">
            <v>43113</v>
          </cell>
          <cell r="B114">
            <v>113</v>
          </cell>
          <cell r="C114">
            <v>25.6</v>
          </cell>
          <cell r="D114">
            <v>87.7</v>
          </cell>
          <cell r="E114">
            <v>3.42</v>
          </cell>
          <cell r="F114">
            <v>89.4</v>
          </cell>
          <cell r="G114">
            <v>1.3</v>
          </cell>
          <cell r="H114">
            <v>0.4</v>
          </cell>
          <cell r="I114">
            <v>87.8</v>
          </cell>
          <cell r="J114">
            <v>99.4</v>
          </cell>
          <cell r="K114">
            <v>0.4</v>
          </cell>
          <cell r="L114">
            <v>0.8</v>
          </cell>
          <cell r="M114">
            <v>0.2</v>
          </cell>
          <cell r="N114">
            <v>0.2</v>
          </cell>
          <cell r="O114">
            <v>1.2</v>
          </cell>
          <cell r="P114">
            <v>84</v>
          </cell>
          <cell r="Q114">
            <v>0.3</v>
          </cell>
          <cell r="R114">
            <v>2.2999999999999998</v>
          </cell>
          <cell r="S114">
            <v>0</v>
          </cell>
          <cell r="T114">
            <v>4.7</v>
          </cell>
          <cell r="U114">
            <v>2.1</v>
          </cell>
          <cell r="V114">
            <v>3.2</v>
          </cell>
          <cell r="W114">
            <v>2</v>
          </cell>
          <cell r="X114">
            <v>0</v>
          </cell>
          <cell r="Y114">
            <v>0</v>
          </cell>
          <cell r="Z114">
            <v>0</v>
          </cell>
        </row>
        <row r="115">
          <cell r="A115">
            <v>43114</v>
          </cell>
          <cell r="B115">
            <v>114</v>
          </cell>
          <cell r="C115">
            <v>181.1</v>
          </cell>
          <cell r="D115">
            <v>590</v>
          </cell>
          <cell r="E115">
            <v>3.26</v>
          </cell>
          <cell r="F115">
            <v>36.299999999999997</v>
          </cell>
          <cell r="G115">
            <v>0.2</v>
          </cell>
          <cell r="H115">
            <v>0.1</v>
          </cell>
          <cell r="I115">
            <v>36</v>
          </cell>
          <cell r="J115">
            <v>60.8</v>
          </cell>
          <cell r="K115">
            <v>0.1</v>
          </cell>
          <cell r="L115">
            <v>0.1</v>
          </cell>
          <cell r="M115">
            <v>0</v>
          </cell>
          <cell r="N115">
            <v>0</v>
          </cell>
          <cell r="O115">
            <v>7.4</v>
          </cell>
          <cell r="P115">
            <v>0.1</v>
          </cell>
          <cell r="Q115">
            <v>0.1</v>
          </cell>
          <cell r="R115">
            <v>28.4</v>
          </cell>
          <cell r="S115">
            <v>0</v>
          </cell>
          <cell r="T115">
            <v>0</v>
          </cell>
          <cell r="U115">
            <v>2.1</v>
          </cell>
          <cell r="V115">
            <v>22.5</v>
          </cell>
          <cell r="W115">
            <v>20</v>
          </cell>
          <cell r="X115">
            <v>0</v>
          </cell>
          <cell r="Y115">
            <v>0</v>
          </cell>
          <cell r="Z115">
            <v>0</v>
          </cell>
        </row>
        <row r="116">
          <cell r="A116">
            <v>43115</v>
          </cell>
          <cell r="B116">
            <v>115</v>
          </cell>
          <cell r="C116">
            <v>0</v>
          </cell>
          <cell r="D116">
            <v>0</v>
          </cell>
          <cell r="E116">
            <v>0</v>
          </cell>
          <cell r="F116">
            <v>451.9</v>
          </cell>
          <cell r="G116">
            <v>89.6</v>
          </cell>
          <cell r="H116">
            <v>109.5</v>
          </cell>
          <cell r="I116">
            <v>252.8</v>
          </cell>
          <cell r="J116">
            <v>459.2</v>
          </cell>
          <cell r="K116">
            <v>28.4</v>
          </cell>
          <cell r="L116">
            <v>61.2</v>
          </cell>
          <cell r="M116">
            <v>45.7</v>
          </cell>
          <cell r="N116">
            <v>63.8</v>
          </cell>
          <cell r="O116">
            <v>87.8</v>
          </cell>
          <cell r="P116">
            <v>35.200000000000003</v>
          </cell>
          <cell r="Q116">
            <v>14.4</v>
          </cell>
          <cell r="R116">
            <v>115.5</v>
          </cell>
          <cell r="S116">
            <v>0</v>
          </cell>
          <cell r="T116">
            <v>0</v>
          </cell>
          <cell r="U116">
            <v>7.3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</row>
        <row r="117">
          <cell r="A117">
            <v>43116</v>
          </cell>
          <cell r="B117">
            <v>116</v>
          </cell>
          <cell r="C117">
            <v>84.6</v>
          </cell>
          <cell r="D117">
            <v>318.7</v>
          </cell>
          <cell r="E117">
            <v>3.77</v>
          </cell>
          <cell r="F117">
            <v>24.1</v>
          </cell>
          <cell r="G117">
            <v>0.6</v>
          </cell>
          <cell r="H117">
            <v>0.1</v>
          </cell>
          <cell r="I117">
            <v>23.4</v>
          </cell>
          <cell r="J117">
            <v>35.6</v>
          </cell>
          <cell r="K117">
            <v>0.5</v>
          </cell>
          <cell r="L117">
            <v>0.1</v>
          </cell>
          <cell r="M117">
            <v>0</v>
          </cell>
          <cell r="N117">
            <v>0</v>
          </cell>
          <cell r="O117">
            <v>15.1</v>
          </cell>
          <cell r="P117">
            <v>0.1</v>
          </cell>
          <cell r="Q117">
            <v>0</v>
          </cell>
          <cell r="R117">
            <v>8.1999999999999993</v>
          </cell>
          <cell r="S117">
            <v>0</v>
          </cell>
          <cell r="T117">
            <v>0</v>
          </cell>
          <cell r="U117">
            <v>1</v>
          </cell>
          <cell r="V117">
            <v>10.5</v>
          </cell>
          <cell r="W117">
            <v>6</v>
          </cell>
          <cell r="X117">
            <v>0</v>
          </cell>
          <cell r="Y117">
            <v>0</v>
          </cell>
          <cell r="Z117">
            <v>0</v>
          </cell>
        </row>
        <row r="118">
          <cell r="A118">
            <v>43117</v>
          </cell>
          <cell r="B118">
            <v>117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</row>
        <row r="119">
          <cell r="A119">
            <v>43118</v>
          </cell>
          <cell r="B119">
            <v>118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</row>
        <row r="120">
          <cell r="A120">
            <v>43119</v>
          </cell>
          <cell r="B120">
            <v>119</v>
          </cell>
          <cell r="C120">
            <v>17.399999999999999</v>
          </cell>
          <cell r="D120">
            <v>38.200000000000003</v>
          </cell>
          <cell r="E120">
            <v>2.19</v>
          </cell>
          <cell r="F120">
            <v>327.60000000000002</v>
          </cell>
          <cell r="G120">
            <v>13.1</v>
          </cell>
          <cell r="H120">
            <v>4</v>
          </cell>
          <cell r="I120">
            <v>310.5</v>
          </cell>
          <cell r="J120">
            <v>345.4</v>
          </cell>
          <cell r="K120">
            <v>4.7</v>
          </cell>
          <cell r="L120">
            <v>8.4</v>
          </cell>
          <cell r="M120">
            <v>1.7</v>
          </cell>
          <cell r="N120">
            <v>2.2999999999999998</v>
          </cell>
          <cell r="O120">
            <v>9.1999999999999993</v>
          </cell>
          <cell r="P120">
            <v>5.4</v>
          </cell>
          <cell r="Q120">
            <v>3.1</v>
          </cell>
          <cell r="R120">
            <v>292.8</v>
          </cell>
          <cell r="S120">
            <v>0</v>
          </cell>
          <cell r="T120">
            <v>0</v>
          </cell>
          <cell r="U120">
            <v>15.6</v>
          </cell>
          <cell r="V120">
            <v>2.2000000000000002</v>
          </cell>
          <cell r="W120">
            <v>32</v>
          </cell>
          <cell r="X120">
            <v>0</v>
          </cell>
          <cell r="Y120">
            <v>0</v>
          </cell>
          <cell r="Z120">
            <v>0</v>
          </cell>
        </row>
        <row r="121">
          <cell r="A121">
            <v>43120</v>
          </cell>
          <cell r="B121">
            <v>120</v>
          </cell>
          <cell r="C121">
            <v>31.9</v>
          </cell>
          <cell r="D121">
            <v>43.9</v>
          </cell>
          <cell r="E121">
            <v>1.38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14.4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10.4</v>
          </cell>
          <cell r="V121">
            <v>4</v>
          </cell>
          <cell r="W121">
            <v>123</v>
          </cell>
          <cell r="X121">
            <v>0</v>
          </cell>
          <cell r="Y121">
            <v>0</v>
          </cell>
          <cell r="Z121">
            <v>0</v>
          </cell>
        </row>
        <row r="122">
          <cell r="A122">
            <v>43121</v>
          </cell>
          <cell r="B122">
            <v>121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</row>
        <row r="123">
          <cell r="A123">
            <v>43122</v>
          </cell>
          <cell r="B123">
            <v>122</v>
          </cell>
          <cell r="C123">
            <v>3.2</v>
          </cell>
          <cell r="D123">
            <v>7.3</v>
          </cell>
          <cell r="E123">
            <v>2.2999999999999998</v>
          </cell>
          <cell r="F123">
            <v>926.5</v>
          </cell>
          <cell r="G123">
            <v>53.1</v>
          </cell>
          <cell r="H123">
            <v>16.3</v>
          </cell>
          <cell r="I123">
            <v>857.1</v>
          </cell>
          <cell r="J123">
            <v>933.1</v>
          </cell>
          <cell r="K123">
            <v>18.8</v>
          </cell>
          <cell r="L123">
            <v>34.299999999999997</v>
          </cell>
          <cell r="M123">
            <v>6.8</v>
          </cell>
          <cell r="N123">
            <v>9.5</v>
          </cell>
          <cell r="O123">
            <v>66.400000000000006</v>
          </cell>
          <cell r="P123">
            <v>22</v>
          </cell>
          <cell r="Q123">
            <v>524.4</v>
          </cell>
          <cell r="R123">
            <v>244.3</v>
          </cell>
          <cell r="S123">
            <v>0</v>
          </cell>
          <cell r="T123">
            <v>0</v>
          </cell>
          <cell r="U123">
            <v>6.2</v>
          </cell>
          <cell r="V123">
            <v>0.4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</row>
        <row r="124">
          <cell r="A124">
            <v>43123</v>
          </cell>
          <cell r="B124">
            <v>123</v>
          </cell>
          <cell r="C124">
            <v>0</v>
          </cell>
          <cell r="D124">
            <v>0</v>
          </cell>
          <cell r="E124">
            <v>0</v>
          </cell>
          <cell r="F124">
            <v>316.89999999999998</v>
          </cell>
          <cell r="G124">
            <v>32</v>
          </cell>
          <cell r="H124">
            <v>104.5</v>
          </cell>
          <cell r="I124">
            <v>180.4</v>
          </cell>
          <cell r="J124">
            <v>321</v>
          </cell>
          <cell r="K124">
            <v>11.5</v>
          </cell>
          <cell r="L124">
            <v>20.5</v>
          </cell>
          <cell r="M124">
            <v>81.599999999999994</v>
          </cell>
          <cell r="N124">
            <v>22.9</v>
          </cell>
          <cell r="O124">
            <v>29.5</v>
          </cell>
          <cell r="P124">
            <v>13.2</v>
          </cell>
          <cell r="Q124">
            <v>7.7</v>
          </cell>
          <cell r="R124">
            <v>130</v>
          </cell>
          <cell r="S124">
            <v>0</v>
          </cell>
          <cell r="T124">
            <v>0</v>
          </cell>
          <cell r="U124">
            <v>4.2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</row>
        <row r="125">
          <cell r="A125">
            <v>43124</v>
          </cell>
          <cell r="B125">
            <v>124</v>
          </cell>
          <cell r="C125">
            <v>1.4</v>
          </cell>
          <cell r="D125">
            <v>3.2</v>
          </cell>
          <cell r="E125">
            <v>2.41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2.2999999999999998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2.1</v>
          </cell>
          <cell r="V125">
            <v>0.2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</row>
        <row r="126">
          <cell r="A126">
            <v>43125</v>
          </cell>
          <cell r="B126">
            <v>125</v>
          </cell>
          <cell r="C126">
            <v>315</v>
          </cell>
          <cell r="D126">
            <v>765</v>
          </cell>
          <cell r="E126">
            <v>2.4285714289999998</v>
          </cell>
          <cell r="F126">
            <v>82.4</v>
          </cell>
          <cell r="G126">
            <v>18</v>
          </cell>
          <cell r="H126">
            <v>5.6</v>
          </cell>
          <cell r="I126">
            <v>58.9</v>
          </cell>
          <cell r="J126">
            <v>133.4</v>
          </cell>
          <cell r="K126">
            <v>6</v>
          </cell>
          <cell r="L126">
            <v>12</v>
          </cell>
          <cell r="M126">
            <v>2.2999999999999998</v>
          </cell>
          <cell r="N126">
            <v>3.3</v>
          </cell>
          <cell r="O126">
            <v>13.4</v>
          </cell>
          <cell r="P126">
            <v>7.4</v>
          </cell>
          <cell r="Q126">
            <v>4.4000000000000004</v>
          </cell>
          <cell r="R126">
            <v>33.700000000000003</v>
          </cell>
          <cell r="S126">
            <v>0</v>
          </cell>
          <cell r="T126">
            <v>0</v>
          </cell>
          <cell r="U126">
            <v>45.7</v>
          </cell>
          <cell r="V126">
            <v>5.2</v>
          </cell>
          <cell r="W126">
            <v>0</v>
          </cell>
          <cell r="X126">
            <v>0</v>
          </cell>
          <cell r="Y126">
            <v>100</v>
          </cell>
          <cell r="Z126">
            <v>0</v>
          </cell>
        </row>
        <row r="127">
          <cell r="A127">
            <v>43126</v>
          </cell>
          <cell r="B127">
            <v>126</v>
          </cell>
          <cell r="C127">
            <v>2.2000000000000002</v>
          </cell>
          <cell r="D127">
            <v>5.2</v>
          </cell>
          <cell r="E127">
            <v>2.4300000000000002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1.3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1</v>
          </cell>
          <cell r="V127">
            <v>0.3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</row>
        <row r="128">
          <cell r="A128">
            <v>43127</v>
          </cell>
          <cell r="B128">
            <v>127</v>
          </cell>
          <cell r="C128">
            <v>218.5</v>
          </cell>
          <cell r="D128">
            <v>787</v>
          </cell>
          <cell r="E128">
            <v>3.601830664</v>
          </cell>
          <cell r="F128">
            <v>55.1</v>
          </cell>
          <cell r="G128">
            <v>11.9</v>
          </cell>
          <cell r="H128">
            <v>4.5999999999999996</v>
          </cell>
          <cell r="I128">
            <v>38.5</v>
          </cell>
          <cell r="J128">
            <v>77.5</v>
          </cell>
          <cell r="K128">
            <v>4</v>
          </cell>
          <cell r="L128">
            <v>7.9</v>
          </cell>
          <cell r="M128">
            <v>1.5</v>
          </cell>
          <cell r="N128">
            <v>3.1</v>
          </cell>
          <cell r="O128">
            <v>8.6</v>
          </cell>
          <cell r="P128">
            <v>4.9000000000000004</v>
          </cell>
          <cell r="Q128">
            <v>2.9</v>
          </cell>
          <cell r="R128">
            <v>22.1</v>
          </cell>
          <cell r="S128">
            <v>0</v>
          </cell>
          <cell r="T128">
            <v>0</v>
          </cell>
          <cell r="U128">
            <v>14.6</v>
          </cell>
          <cell r="V128">
            <v>7.9</v>
          </cell>
          <cell r="W128">
            <v>33</v>
          </cell>
          <cell r="X128">
            <v>0</v>
          </cell>
          <cell r="Y128">
            <v>70</v>
          </cell>
          <cell r="Z128">
            <v>0</v>
          </cell>
        </row>
        <row r="129">
          <cell r="A129">
            <v>43128</v>
          </cell>
          <cell r="B129">
            <v>128</v>
          </cell>
          <cell r="C129">
            <v>45</v>
          </cell>
          <cell r="D129">
            <v>124</v>
          </cell>
          <cell r="E129">
            <v>2.755555556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45</v>
          </cell>
          <cell r="X129">
            <v>0</v>
          </cell>
          <cell r="Y129">
            <v>0</v>
          </cell>
          <cell r="Z129">
            <v>0</v>
          </cell>
        </row>
        <row r="130">
          <cell r="A130">
            <v>43129</v>
          </cell>
          <cell r="B130">
            <v>129</v>
          </cell>
          <cell r="C130">
            <v>3.3</v>
          </cell>
          <cell r="D130">
            <v>11.6</v>
          </cell>
          <cell r="E130">
            <v>3.51</v>
          </cell>
          <cell r="F130">
            <v>63.5</v>
          </cell>
          <cell r="G130">
            <v>0.4</v>
          </cell>
          <cell r="H130">
            <v>0.8</v>
          </cell>
          <cell r="I130">
            <v>62.2</v>
          </cell>
          <cell r="J130">
            <v>243</v>
          </cell>
          <cell r="K130">
            <v>0.1</v>
          </cell>
          <cell r="L130">
            <v>0.3</v>
          </cell>
          <cell r="M130">
            <v>0.1</v>
          </cell>
          <cell r="N130">
            <v>0.8</v>
          </cell>
          <cell r="O130">
            <v>0.3</v>
          </cell>
          <cell r="P130">
            <v>0.2</v>
          </cell>
          <cell r="Q130">
            <v>0.1</v>
          </cell>
          <cell r="R130">
            <v>61.7</v>
          </cell>
          <cell r="S130">
            <v>0</v>
          </cell>
          <cell r="T130">
            <v>179.1</v>
          </cell>
          <cell r="U130">
            <v>0</v>
          </cell>
          <cell r="V130">
            <v>0.4</v>
          </cell>
          <cell r="W130">
            <v>6</v>
          </cell>
          <cell r="X130">
            <v>0</v>
          </cell>
          <cell r="Y130">
            <v>0</v>
          </cell>
          <cell r="Z130">
            <v>0</v>
          </cell>
        </row>
        <row r="131">
          <cell r="A131">
            <v>43130</v>
          </cell>
          <cell r="B131">
            <v>130</v>
          </cell>
          <cell r="C131">
            <v>17.100000000000001</v>
          </cell>
          <cell r="D131">
            <v>70.8</v>
          </cell>
          <cell r="E131">
            <v>4.13</v>
          </cell>
          <cell r="F131">
            <v>14.9</v>
          </cell>
          <cell r="G131">
            <v>2.2999999999999998</v>
          </cell>
          <cell r="H131">
            <v>5.4</v>
          </cell>
          <cell r="I131">
            <v>7.3</v>
          </cell>
          <cell r="J131">
            <v>40.4</v>
          </cell>
          <cell r="K131">
            <v>0.8</v>
          </cell>
          <cell r="L131">
            <v>1.5</v>
          </cell>
          <cell r="M131">
            <v>0.3</v>
          </cell>
          <cell r="N131">
            <v>5.0999999999999996</v>
          </cell>
          <cell r="O131">
            <v>1.6</v>
          </cell>
          <cell r="P131">
            <v>0.9</v>
          </cell>
          <cell r="Q131">
            <v>0.5</v>
          </cell>
          <cell r="R131">
            <v>4.2</v>
          </cell>
          <cell r="S131">
            <v>21.2</v>
          </cell>
          <cell r="T131">
            <v>0</v>
          </cell>
          <cell r="U131">
            <v>2.1</v>
          </cell>
          <cell r="V131">
            <v>2.1</v>
          </cell>
          <cell r="W131">
            <v>12</v>
          </cell>
          <cell r="X131">
            <v>0</v>
          </cell>
          <cell r="Y131">
            <v>0</v>
          </cell>
          <cell r="Z131">
            <v>0</v>
          </cell>
        </row>
        <row r="132">
          <cell r="A132">
            <v>43131</v>
          </cell>
          <cell r="B132">
            <v>131</v>
          </cell>
          <cell r="C132">
            <v>55.6</v>
          </cell>
          <cell r="D132">
            <v>120.8</v>
          </cell>
          <cell r="E132">
            <v>2.17</v>
          </cell>
          <cell r="F132">
            <v>14.4</v>
          </cell>
          <cell r="G132">
            <v>0.1</v>
          </cell>
          <cell r="H132">
            <v>11.1</v>
          </cell>
          <cell r="I132">
            <v>3.2</v>
          </cell>
          <cell r="J132">
            <v>25.5</v>
          </cell>
          <cell r="K132">
            <v>0</v>
          </cell>
          <cell r="L132">
            <v>0.1</v>
          </cell>
          <cell r="M132">
            <v>4.2</v>
          </cell>
          <cell r="N132">
            <v>6.9</v>
          </cell>
          <cell r="O132">
            <v>0.1</v>
          </cell>
          <cell r="P132">
            <v>0</v>
          </cell>
          <cell r="Q132">
            <v>0</v>
          </cell>
          <cell r="R132">
            <v>3.1</v>
          </cell>
          <cell r="S132">
            <v>0</v>
          </cell>
          <cell r="T132">
            <v>0</v>
          </cell>
          <cell r="U132">
            <v>4.2</v>
          </cell>
          <cell r="V132">
            <v>6.9</v>
          </cell>
          <cell r="W132">
            <v>34</v>
          </cell>
          <cell r="X132">
            <v>0</v>
          </cell>
          <cell r="Y132">
            <v>0</v>
          </cell>
          <cell r="Z132">
            <v>0</v>
          </cell>
        </row>
        <row r="133">
          <cell r="A133">
            <v>43132</v>
          </cell>
          <cell r="B133">
            <v>132</v>
          </cell>
          <cell r="C133">
            <v>38.5</v>
          </cell>
          <cell r="D133">
            <v>70.400000000000006</v>
          </cell>
          <cell r="E133">
            <v>1.83</v>
          </cell>
          <cell r="F133">
            <v>29.4</v>
          </cell>
          <cell r="G133">
            <v>3.7</v>
          </cell>
          <cell r="H133">
            <v>1.1000000000000001</v>
          </cell>
          <cell r="I133">
            <v>24.6</v>
          </cell>
          <cell r="J133">
            <v>77.7</v>
          </cell>
          <cell r="K133">
            <v>1.3</v>
          </cell>
          <cell r="L133">
            <v>2.4</v>
          </cell>
          <cell r="M133">
            <v>0.5</v>
          </cell>
          <cell r="N133">
            <v>0.7</v>
          </cell>
          <cell r="O133">
            <v>15.4</v>
          </cell>
          <cell r="P133">
            <v>1.5</v>
          </cell>
          <cell r="Q133">
            <v>0.9</v>
          </cell>
          <cell r="R133">
            <v>6.8</v>
          </cell>
          <cell r="S133">
            <v>42.5</v>
          </cell>
          <cell r="T133">
            <v>0</v>
          </cell>
          <cell r="U133">
            <v>1</v>
          </cell>
          <cell r="V133">
            <v>4.8</v>
          </cell>
          <cell r="W133">
            <v>18</v>
          </cell>
          <cell r="X133">
            <v>0</v>
          </cell>
          <cell r="Y133">
            <v>0</v>
          </cell>
          <cell r="Z133">
            <v>0</v>
          </cell>
        </row>
        <row r="134">
          <cell r="A134">
            <v>43133</v>
          </cell>
          <cell r="B134">
            <v>133</v>
          </cell>
          <cell r="C134">
            <v>68.3</v>
          </cell>
          <cell r="D134">
            <v>176.5</v>
          </cell>
          <cell r="E134">
            <v>2.59</v>
          </cell>
          <cell r="F134">
            <v>1.1000000000000001</v>
          </cell>
          <cell r="G134">
            <v>0.2</v>
          </cell>
          <cell r="H134">
            <v>0.1</v>
          </cell>
          <cell r="I134">
            <v>0.8</v>
          </cell>
          <cell r="J134">
            <v>54.2</v>
          </cell>
          <cell r="K134">
            <v>0.1</v>
          </cell>
          <cell r="L134">
            <v>0.2</v>
          </cell>
          <cell r="M134">
            <v>0</v>
          </cell>
          <cell r="N134">
            <v>0</v>
          </cell>
          <cell r="O134">
            <v>0.2</v>
          </cell>
          <cell r="P134">
            <v>0.1</v>
          </cell>
          <cell r="Q134">
            <v>0.1</v>
          </cell>
          <cell r="R134">
            <v>0.5</v>
          </cell>
          <cell r="S134">
            <v>42.5</v>
          </cell>
          <cell r="T134">
            <v>0</v>
          </cell>
          <cell r="U134">
            <v>2.1</v>
          </cell>
          <cell r="V134">
            <v>8.5</v>
          </cell>
          <cell r="W134">
            <v>27</v>
          </cell>
          <cell r="X134">
            <v>0</v>
          </cell>
          <cell r="Y134">
            <v>0</v>
          </cell>
          <cell r="Z134">
            <v>0</v>
          </cell>
        </row>
        <row r="135">
          <cell r="A135">
            <v>43134</v>
          </cell>
          <cell r="B135">
            <v>134</v>
          </cell>
          <cell r="C135">
            <v>101.5</v>
          </cell>
          <cell r="D135">
            <v>193.2</v>
          </cell>
          <cell r="E135">
            <v>1.9</v>
          </cell>
          <cell r="F135">
            <v>31.3</v>
          </cell>
          <cell r="G135">
            <v>0.4</v>
          </cell>
          <cell r="H135">
            <v>0.1</v>
          </cell>
          <cell r="I135">
            <v>30.9</v>
          </cell>
          <cell r="J135">
            <v>55.4</v>
          </cell>
          <cell r="K135">
            <v>0.1</v>
          </cell>
          <cell r="L135">
            <v>0.2</v>
          </cell>
          <cell r="M135">
            <v>0</v>
          </cell>
          <cell r="N135">
            <v>0.1</v>
          </cell>
          <cell r="O135">
            <v>0.3</v>
          </cell>
          <cell r="P135">
            <v>0.2</v>
          </cell>
          <cell r="Q135">
            <v>2.9</v>
          </cell>
          <cell r="R135">
            <v>27.6</v>
          </cell>
          <cell r="S135">
            <v>0</v>
          </cell>
          <cell r="T135">
            <v>0</v>
          </cell>
          <cell r="U135">
            <v>11.4</v>
          </cell>
          <cell r="V135">
            <v>12.6</v>
          </cell>
          <cell r="W135">
            <v>40</v>
          </cell>
          <cell r="X135">
            <v>0</v>
          </cell>
          <cell r="Y135">
            <v>0</v>
          </cell>
          <cell r="Z135">
            <v>0</v>
          </cell>
        </row>
        <row r="136">
          <cell r="A136">
            <v>43135</v>
          </cell>
          <cell r="B136">
            <v>135</v>
          </cell>
          <cell r="C136">
            <v>553.1</v>
          </cell>
          <cell r="D136">
            <v>1125.3</v>
          </cell>
          <cell r="E136">
            <v>2.0299999999999998</v>
          </cell>
          <cell r="F136">
            <v>258.3</v>
          </cell>
          <cell r="G136">
            <v>83.1</v>
          </cell>
          <cell r="H136">
            <v>14.4</v>
          </cell>
          <cell r="I136">
            <v>160.9</v>
          </cell>
          <cell r="J136">
            <v>601.5</v>
          </cell>
          <cell r="K136">
            <v>12.6</v>
          </cell>
          <cell r="L136">
            <v>70.5</v>
          </cell>
          <cell r="M136">
            <v>2.2999999999999998</v>
          </cell>
          <cell r="N136">
            <v>12</v>
          </cell>
          <cell r="O136">
            <v>12.9</v>
          </cell>
          <cell r="P136">
            <v>24.7</v>
          </cell>
          <cell r="Q136">
            <v>81.8</v>
          </cell>
          <cell r="R136">
            <v>41.5</v>
          </cell>
          <cell r="S136">
            <v>0</v>
          </cell>
          <cell r="T136">
            <v>0</v>
          </cell>
          <cell r="U136">
            <v>274.5</v>
          </cell>
          <cell r="V136">
            <v>68.7</v>
          </cell>
          <cell r="W136">
            <v>60</v>
          </cell>
          <cell r="X136">
            <v>0</v>
          </cell>
          <cell r="Y136">
            <v>0</v>
          </cell>
          <cell r="Z136">
            <v>0</v>
          </cell>
        </row>
        <row r="137">
          <cell r="A137">
            <v>43136</v>
          </cell>
          <cell r="B137">
            <v>136</v>
          </cell>
          <cell r="C137">
            <v>141.30000000000001</v>
          </cell>
          <cell r="D137">
            <v>575.1</v>
          </cell>
          <cell r="E137">
            <v>4.07</v>
          </cell>
          <cell r="F137">
            <v>11.5</v>
          </cell>
          <cell r="G137">
            <v>0.6</v>
          </cell>
          <cell r="H137">
            <v>0.2</v>
          </cell>
          <cell r="I137">
            <v>10.7</v>
          </cell>
          <cell r="J137">
            <v>63.3</v>
          </cell>
          <cell r="K137">
            <v>0.2</v>
          </cell>
          <cell r="L137">
            <v>0.4</v>
          </cell>
          <cell r="M137">
            <v>0.1</v>
          </cell>
          <cell r="N137">
            <v>0.1</v>
          </cell>
          <cell r="O137">
            <v>9.1</v>
          </cell>
          <cell r="P137">
            <v>0.3</v>
          </cell>
          <cell r="Q137">
            <v>0.2</v>
          </cell>
          <cell r="R137">
            <v>1.2</v>
          </cell>
          <cell r="S137">
            <v>0</v>
          </cell>
          <cell r="T137">
            <v>0</v>
          </cell>
          <cell r="U137">
            <v>34.299999999999997</v>
          </cell>
          <cell r="V137">
            <v>17.5</v>
          </cell>
          <cell r="W137">
            <v>21</v>
          </cell>
          <cell r="X137">
            <v>0</v>
          </cell>
          <cell r="Y137">
            <v>0</v>
          </cell>
          <cell r="Z137">
            <v>0</v>
          </cell>
        </row>
        <row r="138">
          <cell r="A138">
            <v>43137</v>
          </cell>
          <cell r="B138">
            <v>137</v>
          </cell>
          <cell r="C138">
            <v>53.5</v>
          </cell>
          <cell r="D138">
            <v>119.6</v>
          </cell>
          <cell r="E138">
            <v>2.2400000000000002</v>
          </cell>
          <cell r="F138">
            <v>6</v>
          </cell>
          <cell r="G138">
            <v>0.1</v>
          </cell>
          <cell r="H138">
            <v>0</v>
          </cell>
          <cell r="I138">
            <v>5.8</v>
          </cell>
          <cell r="J138">
            <v>25.1</v>
          </cell>
          <cell r="K138">
            <v>0</v>
          </cell>
          <cell r="L138">
            <v>0.1</v>
          </cell>
          <cell r="M138">
            <v>0</v>
          </cell>
          <cell r="N138">
            <v>0</v>
          </cell>
          <cell r="O138">
            <v>0.1</v>
          </cell>
          <cell r="P138">
            <v>0.1</v>
          </cell>
          <cell r="Q138">
            <v>0</v>
          </cell>
          <cell r="R138">
            <v>5.6</v>
          </cell>
          <cell r="S138">
            <v>0</v>
          </cell>
          <cell r="T138">
            <v>0</v>
          </cell>
          <cell r="U138">
            <v>12.5</v>
          </cell>
          <cell r="V138">
            <v>6.6</v>
          </cell>
          <cell r="W138">
            <v>33</v>
          </cell>
          <cell r="X138">
            <v>0</v>
          </cell>
          <cell r="Y138">
            <v>0</v>
          </cell>
          <cell r="Z138">
            <v>0</v>
          </cell>
        </row>
        <row r="139">
          <cell r="A139">
            <v>43138</v>
          </cell>
          <cell r="B139">
            <v>138</v>
          </cell>
          <cell r="C139">
            <v>37.700000000000003</v>
          </cell>
          <cell r="D139">
            <v>105.1</v>
          </cell>
          <cell r="E139">
            <v>2.79</v>
          </cell>
          <cell r="F139">
            <v>1.3</v>
          </cell>
          <cell r="G139">
            <v>0.1</v>
          </cell>
          <cell r="H139">
            <v>0.9</v>
          </cell>
          <cell r="I139">
            <v>0.3</v>
          </cell>
          <cell r="J139">
            <v>36.6</v>
          </cell>
          <cell r="K139">
            <v>0</v>
          </cell>
          <cell r="L139">
            <v>0.1</v>
          </cell>
          <cell r="M139">
            <v>0</v>
          </cell>
          <cell r="N139">
            <v>0.9</v>
          </cell>
          <cell r="O139">
            <v>0.1</v>
          </cell>
          <cell r="P139">
            <v>0</v>
          </cell>
          <cell r="Q139">
            <v>0</v>
          </cell>
          <cell r="R139">
            <v>0.2</v>
          </cell>
          <cell r="S139">
            <v>21.2</v>
          </cell>
          <cell r="T139">
            <v>0</v>
          </cell>
          <cell r="U139">
            <v>9.4</v>
          </cell>
          <cell r="V139">
            <v>4.7</v>
          </cell>
          <cell r="W139">
            <v>4</v>
          </cell>
          <cell r="X139">
            <v>0</v>
          </cell>
          <cell r="Y139">
            <v>0</v>
          </cell>
          <cell r="Z139">
            <v>0</v>
          </cell>
        </row>
        <row r="140">
          <cell r="A140">
            <v>43139</v>
          </cell>
          <cell r="B140">
            <v>139</v>
          </cell>
          <cell r="C140">
            <v>75.7</v>
          </cell>
          <cell r="D140">
            <v>239.6</v>
          </cell>
          <cell r="E140">
            <v>3.17</v>
          </cell>
          <cell r="F140">
            <v>20.8</v>
          </cell>
          <cell r="G140">
            <v>1.3</v>
          </cell>
          <cell r="H140">
            <v>6.4</v>
          </cell>
          <cell r="I140">
            <v>13.1</v>
          </cell>
          <cell r="J140">
            <v>80</v>
          </cell>
          <cell r="K140">
            <v>0.5</v>
          </cell>
          <cell r="L140">
            <v>0.9</v>
          </cell>
          <cell r="M140">
            <v>0.2</v>
          </cell>
          <cell r="N140">
            <v>6.3</v>
          </cell>
          <cell r="O140">
            <v>0.9</v>
          </cell>
          <cell r="P140">
            <v>0.5</v>
          </cell>
          <cell r="Q140">
            <v>0.3</v>
          </cell>
          <cell r="R140">
            <v>11.3</v>
          </cell>
          <cell r="S140">
            <v>42.5</v>
          </cell>
          <cell r="T140">
            <v>0</v>
          </cell>
          <cell r="U140">
            <v>7.3</v>
          </cell>
          <cell r="V140">
            <v>9.4</v>
          </cell>
          <cell r="W140">
            <v>15</v>
          </cell>
          <cell r="X140">
            <v>0</v>
          </cell>
          <cell r="Y140">
            <v>0</v>
          </cell>
          <cell r="Z140">
            <v>0</v>
          </cell>
        </row>
        <row r="141">
          <cell r="A141">
            <v>43140</v>
          </cell>
          <cell r="B141">
            <v>140</v>
          </cell>
          <cell r="C141">
            <v>79</v>
          </cell>
          <cell r="D141">
            <v>202.8</v>
          </cell>
          <cell r="E141">
            <v>2.57</v>
          </cell>
          <cell r="F141">
            <v>10.5</v>
          </cell>
          <cell r="G141">
            <v>1.7</v>
          </cell>
          <cell r="H141">
            <v>0.5</v>
          </cell>
          <cell r="I141">
            <v>8.3000000000000007</v>
          </cell>
          <cell r="J141">
            <v>64.900000000000006</v>
          </cell>
          <cell r="K141">
            <v>0.6</v>
          </cell>
          <cell r="L141">
            <v>1.1000000000000001</v>
          </cell>
          <cell r="M141">
            <v>0.2</v>
          </cell>
          <cell r="N141">
            <v>0.3</v>
          </cell>
          <cell r="O141">
            <v>1.2</v>
          </cell>
          <cell r="P141">
            <v>0.7</v>
          </cell>
          <cell r="Q141">
            <v>1.5</v>
          </cell>
          <cell r="R141">
            <v>5</v>
          </cell>
          <cell r="S141">
            <v>42.5</v>
          </cell>
          <cell r="T141">
            <v>0</v>
          </cell>
          <cell r="U141">
            <v>2.1</v>
          </cell>
          <cell r="V141">
            <v>9.8000000000000007</v>
          </cell>
          <cell r="W141">
            <v>16</v>
          </cell>
          <cell r="X141">
            <v>0</v>
          </cell>
          <cell r="Y141">
            <v>0</v>
          </cell>
          <cell r="Z141">
            <v>0</v>
          </cell>
        </row>
        <row r="142">
          <cell r="A142">
            <v>43141</v>
          </cell>
          <cell r="B142">
            <v>141</v>
          </cell>
          <cell r="C142">
            <v>102.1</v>
          </cell>
          <cell r="D142">
            <v>294.89999999999998</v>
          </cell>
          <cell r="E142">
            <v>2.89</v>
          </cell>
          <cell r="F142">
            <v>12.3</v>
          </cell>
          <cell r="G142">
            <v>3</v>
          </cell>
          <cell r="H142">
            <v>2.6</v>
          </cell>
          <cell r="I142">
            <v>6.6</v>
          </cell>
          <cell r="J142">
            <v>72.7</v>
          </cell>
          <cell r="K142">
            <v>2</v>
          </cell>
          <cell r="L142">
            <v>1</v>
          </cell>
          <cell r="M142">
            <v>0.2</v>
          </cell>
          <cell r="N142">
            <v>2.4</v>
          </cell>
          <cell r="O142">
            <v>1.1000000000000001</v>
          </cell>
          <cell r="P142">
            <v>0.6</v>
          </cell>
          <cell r="Q142">
            <v>0.4</v>
          </cell>
          <cell r="R142">
            <v>4.5999999999999996</v>
          </cell>
          <cell r="S142">
            <v>42.5</v>
          </cell>
          <cell r="T142">
            <v>0</v>
          </cell>
          <cell r="U142">
            <v>5.2</v>
          </cell>
          <cell r="V142">
            <v>12.7</v>
          </cell>
          <cell r="W142">
            <v>27</v>
          </cell>
          <cell r="X142">
            <v>0</v>
          </cell>
          <cell r="Y142">
            <v>0</v>
          </cell>
          <cell r="Z142">
            <v>0</v>
          </cell>
        </row>
        <row r="143">
          <cell r="A143">
            <v>43142</v>
          </cell>
          <cell r="B143">
            <v>142</v>
          </cell>
          <cell r="C143">
            <v>116.1</v>
          </cell>
          <cell r="D143">
            <v>254.3</v>
          </cell>
          <cell r="E143">
            <v>2.19</v>
          </cell>
          <cell r="F143">
            <v>143.9</v>
          </cell>
          <cell r="G143">
            <v>27.2</v>
          </cell>
          <cell r="H143">
            <v>29.2</v>
          </cell>
          <cell r="I143">
            <v>87.4</v>
          </cell>
          <cell r="J143">
            <v>242.3</v>
          </cell>
          <cell r="K143">
            <v>9.6</v>
          </cell>
          <cell r="L143">
            <v>17.7</v>
          </cell>
          <cell r="M143">
            <v>21.1</v>
          </cell>
          <cell r="N143">
            <v>8.1</v>
          </cell>
          <cell r="O143">
            <v>19.399999999999999</v>
          </cell>
          <cell r="P143">
            <v>11.2</v>
          </cell>
          <cell r="Q143">
            <v>6.6</v>
          </cell>
          <cell r="R143">
            <v>50.3</v>
          </cell>
          <cell r="S143">
            <v>42.5</v>
          </cell>
          <cell r="T143">
            <v>0</v>
          </cell>
          <cell r="U143">
            <v>41.6</v>
          </cell>
          <cell r="V143">
            <v>14.4</v>
          </cell>
          <cell r="W143">
            <v>3</v>
          </cell>
          <cell r="X143">
            <v>0</v>
          </cell>
          <cell r="Y143">
            <v>0</v>
          </cell>
          <cell r="Z143">
            <v>0</v>
          </cell>
        </row>
        <row r="144">
          <cell r="A144">
            <v>43143</v>
          </cell>
          <cell r="B144">
            <v>143</v>
          </cell>
          <cell r="C144">
            <v>76.5</v>
          </cell>
          <cell r="D144">
            <v>220.2</v>
          </cell>
          <cell r="E144">
            <v>2.88</v>
          </cell>
          <cell r="F144">
            <v>74.2</v>
          </cell>
          <cell r="G144">
            <v>41.5</v>
          </cell>
          <cell r="H144">
            <v>2.8</v>
          </cell>
          <cell r="I144">
            <v>29.9</v>
          </cell>
          <cell r="J144">
            <v>143</v>
          </cell>
          <cell r="K144">
            <v>3.2</v>
          </cell>
          <cell r="L144">
            <v>38.299999999999997</v>
          </cell>
          <cell r="M144">
            <v>1.2</v>
          </cell>
          <cell r="N144">
            <v>1.7</v>
          </cell>
          <cell r="O144">
            <v>6.6</v>
          </cell>
          <cell r="P144">
            <v>3.8</v>
          </cell>
          <cell r="Q144">
            <v>2.2000000000000002</v>
          </cell>
          <cell r="R144">
            <v>17.2</v>
          </cell>
          <cell r="S144">
            <v>0</v>
          </cell>
          <cell r="T144">
            <v>0</v>
          </cell>
          <cell r="U144">
            <v>59.3</v>
          </cell>
          <cell r="V144">
            <v>9.5</v>
          </cell>
          <cell r="W144">
            <v>24</v>
          </cell>
          <cell r="X144">
            <v>0</v>
          </cell>
          <cell r="Y144">
            <v>0</v>
          </cell>
          <cell r="Z144">
            <v>0</v>
          </cell>
        </row>
        <row r="145">
          <cell r="A145">
            <v>43144</v>
          </cell>
          <cell r="B145">
            <v>144</v>
          </cell>
          <cell r="C145">
            <v>62.2</v>
          </cell>
          <cell r="D145">
            <v>150.80000000000001</v>
          </cell>
          <cell r="E145">
            <v>2.4300000000000002</v>
          </cell>
          <cell r="F145">
            <v>80.8</v>
          </cell>
          <cell r="G145">
            <v>40.299999999999997</v>
          </cell>
          <cell r="H145">
            <v>3.5</v>
          </cell>
          <cell r="I145">
            <v>37</v>
          </cell>
          <cell r="J145">
            <v>211.2</v>
          </cell>
          <cell r="K145">
            <v>32.799999999999997</v>
          </cell>
          <cell r="L145">
            <v>7.5</v>
          </cell>
          <cell r="M145">
            <v>1.5</v>
          </cell>
          <cell r="N145">
            <v>2.1</v>
          </cell>
          <cell r="O145">
            <v>8.1999999999999993</v>
          </cell>
          <cell r="P145">
            <v>4.7</v>
          </cell>
          <cell r="Q145">
            <v>2.8</v>
          </cell>
          <cell r="R145">
            <v>21.3</v>
          </cell>
          <cell r="S145">
            <v>0</v>
          </cell>
          <cell r="T145">
            <v>0</v>
          </cell>
          <cell r="U145">
            <v>122.7</v>
          </cell>
          <cell r="V145">
            <v>7.7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</row>
        <row r="146">
          <cell r="A146">
            <v>43145</v>
          </cell>
          <cell r="B146">
            <v>145</v>
          </cell>
          <cell r="C146">
            <v>213.6</v>
          </cell>
          <cell r="D146">
            <v>635.79999999999995</v>
          </cell>
          <cell r="E146">
            <v>2.98</v>
          </cell>
          <cell r="F146">
            <v>292</v>
          </cell>
          <cell r="G146">
            <v>118.6</v>
          </cell>
          <cell r="H146">
            <v>11.3</v>
          </cell>
          <cell r="I146">
            <v>162.1</v>
          </cell>
          <cell r="J146">
            <v>351.8</v>
          </cell>
          <cell r="K146">
            <v>69.900000000000006</v>
          </cell>
          <cell r="L146">
            <v>48.7</v>
          </cell>
          <cell r="M146">
            <v>1.9</v>
          </cell>
          <cell r="N146">
            <v>9.4</v>
          </cell>
          <cell r="O146">
            <v>106.4</v>
          </cell>
          <cell r="P146">
            <v>6</v>
          </cell>
          <cell r="Q146">
            <v>22.9</v>
          </cell>
          <cell r="R146">
            <v>26.9</v>
          </cell>
          <cell r="S146">
            <v>0</v>
          </cell>
          <cell r="T146">
            <v>0</v>
          </cell>
          <cell r="U146">
            <v>33.299999999999997</v>
          </cell>
          <cell r="V146">
            <v>26.5</v>
          </cell>
          <cell r="W146">
            <v>33</v>
          </cell>
          <cell r="X146">
            <v>0</v>
          </cell>
          <cell r="Y146">
            <v>0</v>
          </cell>
          <cell r="Z146">
            <v>0</v>
          </cell>
        </row>
        <row r="147">
          <cell r="A147">
            <v>43146</v>
          </cell>
          <cell r="B147">
            <v>146</v>
          </cell>
          <cell r="C147">
            <v>163.1</v>
          </cell>
          <cell r="D147">
            <v>293.39999999999998</v>
          </cell>
          <cell r="E147">
            <v>1.8</v>
          </cell>
          <cell r="F147">
            <v>154.1</v>
          </cell>
          <cell r="G147">
            <v>64.5</v>
          </cell>
          <cell r="H147">
            <v>2.2000000000000002</v>
          </cell>
          <cell r="I147">
            <v>87.4</v>
          </cell>
          <cell r="J147">
            <v>209.8</v>
          </cell>
          <cell r="K147">
            <v>22</v>
          </cell>
          <cell r="L147">
            <v>42.5</v>
          </cell>
          <cell r="M147">
            <v>0.9</v>
          </cell>
          <cell r="N147">
            <v>1.3</v>
          </cell>
          <cell r="O147">
            <v>6.9</v>
          </cell>
          <cell r="P147">
            <v>33.4</v>
          </cell>
          <cell r="Q147">
            <v>1.8</v>
          </cell>
          <cell r="R147">
            <v>45.4</v>
          </cell>
          <cell r="S147">
            <v>0</v>
          </cell>
          <cell r="T147">
            <v>0</v>
          </cell>
          <cell r="U147">
            <v>35.299999999999997</v>
          </cell>
          <cell r="V147">
            <v>20.3</v>
          </cell>
          <cell r="W147">
            <v>28</v>
          </cell>
          <cell r="X147">
            <v>0</v>
          </cell>
          <cell r="Y147">
            <v>0</v>
          </cell>
          <cell r="Z147">
            <v>0</v>
          </cell>
        </row>
        <row r="148">
          <cell r="A148">
            <v>43147</v>
          </cell>
          <cell r="B148">
            <v>147</v>
          </cell>
          <cell r="C148">
            <v>130.80000000000001</v>
          </cell>
          <cell r="D148">
            <v>296.10000000000002</v>
          </cell>
          <cell r="E148">
            <v>2.2599999999999998</v>
          </cell>
          <cell r="F148">
            <v>16.5</v>
          </cell>
          <cell r="G148">
            <v>2.4</v>
          </cell>
          <cell r="H148">
            <v>0.8</v>
          </cell>
          <cell r="I148">
            <v>13.3</v>
          </cell>
          <cell r="J148">
            <v>37.9</v>
          </cell>
          <cell r="K148">
            <v>0.9</v>
          </cell>
          <cell r="L148">
            <v>1.6</v>
          </cell>
          <cell r="M148">
            <v>0.3</v>
          </cell>
          <cell r="N148">
            <v>0.4</v>
          </cell>
          <cell r="O148">
            <v>1.7</v>
          </cell>
          <cell r="P148">
            <v>1</v>
          </cell>
          <cell r="Q148">
            <v>0.6</v>
          </cell>
          <cell r="R148">
            <v>10</v>
          </cell>
          <cell r="S148">
            <v>0</v>
          </cell>
          <cell r="T148">
            <v>0</v>
          </cell>
          <cell r="U148">
            <v>5.2</v>
          </cell>
          <cell r="V148">
            <v>16.2</v>
          </cell>
          <cell r="W148">
            <v>4</v>
          </cell>
          <cell r="X148">
            <v>0</v>
          </cell>
          <cell r="Y148">
            <v>0</v>
          </cell>
          <cell r="Z148">
            <v>0</v>
          </cell>
        </row>
        <row r="149">
          <cell r="A149">
            <v>43148</v>
          </cell>
          <cell r="B149">
            <v>148</v>
          </cell>
          <cell r="C149">
            <v>106</v>
          </cell>
          <cell r="D149">
            <v>295.89999999999998</v>
          </cell>
          <cell r="E149">
            <v>2.79</v>
          </cell>
          <cell r="F149">
            <v>113.3</v>
          </cell>
          <cell r="G149">
            <v>14.2</v>
          </cell>
          <cell r="H149">
            <v>53.7</v>
          </cell>
          <cell r="I149">
            <v>45.4</v>
          </cell>
          <cell r="J149">
            <v>182</v>
          </cell>
          <cell r="K149">
            <v>5</v>
          </cell>
          <cell r="L149">
            <v>9.1999999999999993</v>
          </cell>
          <cell r="M149">
            <v>27.4</v>
          </cell>
          <cell r="N149">
            <v>26.3</v>
          </cell>
          <cell r="O149">
            <v>10.1</v>
          </cell>
          <cell r="P149">
            <v>5.8</v>
          </cell>
          <cell r="Q149">
            <v>3.4</v>
          </cell>
          <cell r="R149">
            <v>26.1</v>
          </cell>
          <cell r="S149">
            <v>21.2</v>
          </cell>
          <cell r="T149">
            <v>0</v>
          </cell>
          <cell r="U149">
            <v>34.299999999999997</v>
          </cell>
          <cell r="V149">
            <v>13.2</v>
          </cell>
          <cell r="W149">
            <v>8</v>
          </cell>
          <cell r="X149">
            <v>0</v>
          </cell>
          <cell r="Y149">
            <v>0</v>
          </cell>
          <cell r="Z149">
            <v>0</v>
          </cell>
        </row>
        <row r="150">
          <cell r="A150">
            <v>43149</v>
          </cell>
          <cell r="B150">
            <v>149</v>
          </cell>
          <cell r="C150">
            <v>121.9</v>
          </cell>
          <cell r="D150">
            <v>263.89999999999998</v>
          </cell>
          <cell r="E150">
            <v>2.16</v>
          </cell>
          <cell r="F150">
            <v>130.9</v>
          </cell>
          <cell r="G150">
            <v>43</v>
          </cell>
          <cell r="H150">
            <v>16.600000000000001</v>
          </cell>
          <cell r="I150">
            <v>71.3</v>
          </cell>
          <cell r="J150">
            <v>230.2</v>
          </cell>
          <cell r="K150">
            <v>32.5</v>
          </cell>
          <cell r="L150">
            <v>10.5</v>
          </cell>
          <cell r="M150">
            <v>2.1</v>
          </cell>
          <cell r="N150">
            <v>14.5</v>
          </cell>
          <cell r="O150">
            <v>14.8</v>
          </cell>
          <cell r="P150">
            <v>6.7</v>
          </cell>
          <cell r="Q150">
            <v>19.7</v>
          </cell>
          <cell r="R150">
            <v>30.2</v>
          </cell>
          <cell r="S150">
            <v>0</v>
          </cell>
          <cell r="T150">
            <v>0</v>
          </cell>
          <cell r="U150">
            <v>84.2</v>
          </cell>
          <cell r="V150">
            <v>15.1</v>
          </cell>
          <cell r="W150">
            <v>3</v>
          </cell>
          <cell r="X150">
            <v>0</v>
          </cell>
          <cell r="Y150">
            <v>0</v>
          </cell>
          <cell r="Z150">
            <v>0</v>
          </cell>
        </row>
        <row r="151">
          <cell r="A151">
            <v>43150</v>
          </cell>
          <cell r="B151">
            <v>150</v>
          </cell>
          <cell r="C151">
            <v>299.7</v>
          </cell>
          <cell r="D151">
            <v>820.3</v>
          </cell>
          <cell r="E151">
            <v>2.74</v>
          </cell>
          <cell r="F151">
            <v>906.3</v>
          </cell>
          <cell r="G151">
            <v>98.2</v>
          </cell>
          <cell r="H151">
            <v>142.6</v>
          </cell>
          <cell r="I151">
            <v>665.6</v>
          </cell>
          <cell r="J151">
            <v>986.2</v>
          </cell>
          <cell r="K151">
            <v>25.4</v>
          </cell>
          <cell r="L151">
            <v>72.8</v>
          </cell>
          <cell r="M151">
            <v>106.1</v>
          </cell>
          <cell r="N151">
            <v>36.5</v>
          </cell>
          <cell r="O151">
            <v>32.299999999999997</v>
          </cell>
          <cell r="P151">
            <v>280.7</v>
          </cell>
          <cell r="Q151">
            <v>11</v>
          </cell>
          <cell r="R151">
            <v>341.5</v>
          </cell>
          <cell r="S151">
            <v>0</v>
          </cell>
          <cell r="T151">
            <v>0</v>
          </cell>
          <cell r="U151">
            <v>42.6</v>
          </cell>
          <cell r="V151">
            <v>37.200000000000003</v>
          </cell>
          <cell r="W151">
            <v>49</v>
          </cell>
          <cell r="X151">
            <v>0</v>
          </cell>
          <cell r="Y151">
            <v>0</v>
          </cell>
          <cell r="Z151">
            <v>0</v>
          </cell>
        </row>
        <row r="152">
          <cell r="A152">
            <v>43151</v>
          </cell>
          <cell r="B152">
            <v>151</v>
          </cell>
          <cell r="C152">
            <v>21.4</v>
          </cell>
          <cell r="D152">
            <v>75.099999999999994</v>
          </cell>
          <cell r="E152">
            <v>3.51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17.3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14.6</v>
          </cell>
          <cell r="V152">
            <v>2.7</v>
          </cell>
          <cell r="W152">
            <v>5</v>
          </cell>
          <cell r="X152">
            <v>0</v>
          </cell>
          <cell r="Y152">
            <v>0</v>
          </cell>
          <cell r="Z152">
            <v>0</v>
          </cell>
        </row>
        <row r="153">
          <cell r="A153">
            <v>43152</v>
          </cell>
          <cell r="B153">
            <v>152</v>
          </cell>
          <cell r="C153">
            <v>35</v>
          </cell>
          <cell r="D153">
            <v>122.8</v>
          </cell>
          <cell r="E153">
            <v>3.51</v>
          </cell>
          <cell r="F153">
            <v>1.3</v>
          </cell>
          <cell r="G153">
            <v>0.3</v>
          </cell>
          <cell r="H153">
            <v>0.1</v>
          </cell>
          <cell r="I153">
            <v>0.9</v>
          </cell>
          <cell r="J153">
            <v>21.3</v>
          </cell>
          <cell r="K153">
            <v>0.1</v>
          </cell>
          <cell r="L153">
            <v>0.2</v>
          </cell>
          <cell r="M153">
            <v>0</v>
          </cell>
          <cell r="N153">
            <v>0.1</v>
          </cell>
          <cell r="O153">
            <v>0.2</v>
          </cell>
          <cell r="P153">
            <v>0.1</v>
          </cell>
          <cell r="Q153">
            <v>0.1</v>
          </cell>
          <cell r="R153">
            <v>0.5</v>
          </cell>
          <cell r="S153">
            <v>4.2</v>
          </cell>
          <cell r="T153">
            <v>0</v>
          </cell>
          <cell r="U153">
            <v>11.4</v>
          </cell>
          <cell r="V153">
            <v>4.3</v>
          </cell>
          <cell r="W153">
            <v>5</v>
          </cell>
          <cell r="X153">
            <v>0</v>
          </cell>
          <cell r="Y153">
            <v>0</v>
          </cell>
          <cell r="Z153">
            <v>0</v>
          </cell>
        </row>
        <row r="154">
          <cell r="A154">
            <v>43153</v>
          </cell>
          <cell r="B154">
            <v>153</v>
          </cell>
          <cell r="C154">
            <v>372.4</v>
          </cell>
          <cell r="D154">
            <v>1000.8</v>
          </cell>
          <cell r="E154">
            <v>2.69</v>
          </cell>
          <cell r="F154">
            <v>85.1</v>
          </cell>
          <cell r="G154">
            <v>16.7</v>
          </cell>
          <cell r="H154">
            <v>2.5</v>
          </cell>
          <cell r="I154">
            <v>65.900000000000006</v>
          </cell>
          <cell r="J154">
            <v>205.2</v>
          </cell>
          <cell r="K154">
            <v>1.9</v>
          </cell>
          <cell r="L154">
            <v>14.8</v>
          </cell>
          <cell r="M154">
            <v>1.5</v>
          </cell>
          <cell r="N154">
            <v>0.9</v>
          </cell>
          <cell r="O154">
            <v>3.7</v>
          </cell>
          <cell r="P154">
            <v>2.2000000000000002</v>
          </cell>
          <cell r="Q154">
            <v>2.9</v>
          </cell>
          <cell r="R154">
            <v>57.1</v>
          </cell>
          <cell r="S154">
            <v>0</v>
          </cell>
          <cell r="T154">
            <v>0</v>
          </cell>
          <cell r="U154">
            <v>73.8</v>
          </cell>
          <cell r="V154">
            <v>46.3</v>
          </cell>
          <cell r="W154">
            <v>74</v>
          </cell>
          <cell r="X154">
            <v>0</v>
          </cell>
          <cell r="Y154">
            <v>0</v>
          </cell>
          <cell r="Z154">
            <v>0</v>
          </cell>
        </row>
        <row r="155">
          <cell r="A155">
            <v>43154</v>
          </cell>
          <cell r="B155">
            <v>154</v>
          </cell>
          <cell r="C155">
            <v>196.1</v>
          </cell>
          <cell r="D155">
            <v>507.9</v>
          </cell>
          <cell r="E155">
            <v>2.59</v>
          </cell>
          <cell r="F155">
            <v>79</v>
          </cell>
          <cell r="G155">
            <v>3.4</v>
          </cell>
          <cell r="H155">
            <v>1.1000000000000001</v>
          </cell>
          <cell r="I155">
            <v>74.5</v>
          </cell>
          <cell r="J155">
            <v>191.9</v>
          </cell>
          <cell r="K155">
            <v>1.2</v>
          </cell>
          <cell r="L155">
            <v>2.2000000000000002</v>
          </cell>
          <cell r="M155">
            <v>0.4</v>
          </cell>
          <cell r="N155">
            <v>0.6</v>
          </cell>
          <cell r="O155">
            <v>11.4</v>
          </cell>
          <cell r="P155">
            <v>1.4</v>
          </cell>
          <cell r="Q155">
            <v>0.8</v>
          </cell>
          <cell r="R155">
            <v>60.9</v>
          </cell>
          <cell r="S155">
            <v>8.5</v>
          </cell>
          <cell r="T155">
            <v>0</v>
          </cell>
          <cell r="U155">
            <v>80.099999999999994</v>
          </cell>
          <cell r="V155">
            <v>24.4</v>
          </cell>
          <cell r="W155">
            <v>16</v>
          </cell>
          <cell r="X155">
            <v>0</v>
          </cell>
          <cell r="Y155">
            <v>0</v>
          </cell>
          <cell r="Z155">
            <v>0</v>
          </cell>
        </row>
        <row r="156">
          <cell r="A156">
            <v>43155</v>
          </cell>
          <cell r="B156">
            <v>155</v>
          </cell>
          <cell r="C156">
            <v>74.900000000000006</v>
          </cell>
          <cell r="D156">
            <v>196.6</v>
          </cell>
          <cell r="E156">
            <v>2.63</v>
          </cell>
          <cell r="F156">
            <v>13.2</v>
          </cell>
          <cell r="G156">
            <v>1.4</v>
          </cell>
          <cell r="H156">
            <v>1.4</v>
          </cell>
          <cell r="I156">
            <v>10.4</v>
          </cell>
          <cell r="J156">
            <v>39.1</v>
          </cell>
          <cell r="K156">
            <v>0.5</v>
          </cell>
          <cell r="L156">
            <v>0.9</v>
          </cell>
          <cell r="M156">
            <v>0.2</v>
          </cell>
          <cell r="N156">
            <v>1.2</v>
          </cell>
          <cell r="O156">
            <v>6.8</v>
          </cell>
          <cell r="P156">
            <v>0.6</v>
          </cell>
          <cell r="Q156">
            <v>0.3</v>
          </cell>
          <cell r="R156">
            <v>2.6</v>
          </cell>
          <cell r="S156">
            <v>0</v>
          </cell>
          <cell r="T156">
            <v>0</v>
          </cell>
          <cell r="U156">
            <v>16.600000000000001</v>
          </cell>
          <cell r="V156">
            <v>9.3000000000000007</v>
          </cell>
          <cell r="W156">
            <v>7</v>
          </cell>
          <cell r="X156">
            <v>0</v>
          </cell>
          <cell r="Y156">
            <v>0</v>
          </cell>
          <cell r="Z156">
            <v>0</v>
          </cell>
        </row>
        <row r="157">
          <cell r="A157">
            <v>43156</v>
          </cell>
          <cell r="B157">
            <v>156</v>
          </cell>
          <cell r="C157">
            <v>26.5</v>
          </cell>
          <cell r="D157">
            <v>66.099999999999994</v>
          </cell>
          <cell r="E157">
            <v>2.4900000000000002</v>
          </cell>
          <cell r="F157">
            <v>9.1999999999999993</v>
          </cell>
          <cell r="G157">
            <v>0.1</v>
          </cell>
          <cell r="H157">
            <v>0</v>
          </cell>
          <cell r="I157">
            <v>9.1</v>
          </cell>
          <cell r="J157">
            <v>16.600000000000001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9</v>
          </cell>
          <cell r="S157">
            <v>0</v>
          </cell>
          <cell r="T157">
            <v>0</v>
          </cell>
          <cell r="U157">
            <v>4.2</v>
          </cell>
          <cell r="V157">
            <v>3.3</v>
          </cell>
          <cell r="W157">
            <v>63</v>
          </cell>
          <cell r="X157">
            <v>0</v>
          </cell>
          <cell r="Y157">
            <v>0</v>
          </cell>
          <cell r="Z157">
            <v>0</v>
          </cell>
        </row>
        <row r="158">
          <cell r="A158">
            <v>43157</v>
          </cell>
          <cell r="B158">
            <v>157</v>
          </cell>
          <cell r="C158">
            <v>3.4</v>
          </cell>
          <cell r="D158">
            <v>7.1</v>
          </cell>
          <cell r="E158">
            <v>2.12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0.4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0.4</v>
          </cell>
          <cell r="W158">
            <v>4</v>
          </cell>
          <cell r="X158">
            <v>0</v>
          </cell>
          <cell r="Y158">
            <v>0</v>
          </cell>
          <cell r="Z158">
            <v>0</v>
          </cell>
        </row>
        <row r="159">
          <cell r="A159">
            <v>43158</v>
          </cell>
          <cell r="B159">
            <v>158</v>
          </cell>
          <cell r="C159">
            <v>45.5</v>
          </cell>
          <cell r="D159">
            <v>105.7</v>
          </cell>
          <cell r="E159">
            <v>2.3199999999999998</v>
          </cell>
          <cell r="F159">
            <v>1</v>
          </cell>
          <cell r="G159">
            <v>0</v>
          </cell>
          <cell r="H159">
            <v>0</v>
          </cell>
          <cell r="I159">
            <v>1</v>
          </cell>
          <cell r="J159">
            <v>50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0.9</v>
          </cell>
          <cell r="R159">
            <v>0</v>
          </cell>
          <cell r="S159">
            <v>0</v>
          </cell>
          <cell r="T159">
            <v>22.6</v>
          </cell>
          <cell r="U159">
            <v>20.8</v>
          </cell>
          <cell r="V159">
            <v>5.6</v>
          </cell>
          <cell r="W159">
            <v>8</v>
          </cell>
          <cell r="X159">
            <v>0</v>
          </cell>
          <cell r="Y159">
            <v>0</v>
          </cell>
          <cell r="Z159">
            <v>0</v>
          </cell>
        </row>
        <row r="160">
          <cell r="A160">
            <v>43159</v>
          </cell>
          <cell r="B160">
            <v>159</v>
          </cell>
          <cell r="C160">
            <v>113.1</v>
          </cell>
          <cell r="D160">
            <v>322.10000000000002</v>
          </cell>
          <cell r="E160">
            <v>2.85</v>
          </cell>
          <cell r="F160">
            <v>11.3</v>
          </cell>
          <cell r="G160">
            <v>0.3</v>
          </cell>
          <cell r="H160">
            <v>0.1</v>
          </cell>
          <cell r="I160">
            <v>11</v>
          </cell>
          <cell r="J160">
            <v>70.2</v>
          </cell>
          <cell r="K160">
            <v>0.1</v>
          </cell>
          <cell r="L160">
            <v>0.2</v>
          </cell>
          <cell r="M160">
            <v>0</v>
          </cell>
          <cell r="N160">
            <v>0</v>
          </cell>
          <cell r="O160">
            <v>0.2</v>
          </cell>
          <cell r="P160">
            <v>6.8</v>
          </cell>
          <cell r="Q160">
            <v>0.1</v>
          </cell>
          <cell r="R160">
            <v>4</v>
          </cell>
          <cell r="S160">
            <v>8.5</v>
          </cell>
          <cell r="T160">
            <v>0</v>
          </cell>
          <cell r="U160">
            <v>36.4</v>
          </cell>
          <cell r="V160">
            <v>14</v>
          </cell>
          <cell r="W160">
            <v>11</v>
          </cell>
          <cell r="X160">
            <v>0</v>
          </cell>
          <cell r="Y160">
            <v>0</v>
          </cell>
          <cell r="Z160">
            <v>0</v>
          </cell>
        </row>
        <row r="161">
          <cell r="A161">
            <v>43160</v>
          </cell>
          <cell r="B161">
            <v>160</v>
          </cell>
          <cell r="C161">
            <v>82.8</v>
          </cell>
          <cell r="D161">
            <v>338.7</v>
          </cell>
          <cell r="E161">
            <v>4.09</v>
          </cell>
          <cell r="F161">
            <v>10</v>
          </cell>
          <cell r="G161">
            <v>2.2000000000000002</v>
          </cell>
          <cell r="H161">
            <v>0.7</v>
          </cell>
          <cell r="I161">
            <v>7.2</v>
          </cell>
          <cell r="J161">
            <v>109.9</v>
          </cell>
          <cell r="K161">
            <v>0.7</v>
          </cell>
          <cell r="L161">
            <v>1.5</v>
          </cell>
          <cell r="M161">
            <v>0.3</v>
          </cell>
          <cell r="N161">
            <v>0.4</v>
          </cell>
          <cell r="O161">
            <v>1.6</v>
          </cell>
          <cell r="P161">
            <v>0.9</v>
          </cell>
          <cell r="Q161">
            <v>0.5</v>
          </cell>
          <cell r="R161">
            <v>4.0999999999999996</v>
          </cell>
          <cell r="S161">
            <v>8.5</v>
          </cell>
          <cell r="T161">
            <v>0</v>
          </cell>
          <cell r="U161">
            <v>81.099999999999994</v>
          </cell>
          <cell r="V161">
            <v>10.3</v>
          </cell>
          <cell r="W161">
            <v>24</v>
          </cell>
          <cell r="X161">
            <v>0</v>
          </cell>
          <cell r="Y161">
            <v>0</v>
          </cell>
          <cell r="Z161">
            <v>0</v>
          </cell>
        </row>
        <row r="162">
          <cell r="A162">
            <v>43161</v>
          </cell>
          <cell r="B162">
            <v>161</v>
          </cell>
          <cell r="C162">
            <v>85.4</v>
          </cell>
          <cell r="D162">
            <v>221.7</v>
          </cell>
          <cell r="E162">
            <v>2.6</v>
          </cell>
          <cell r="F162">
            <v>10.1</v>
          </cell>
          <cell r="G162">
            <v>0.1</v>
          </cell>
          <cell r="H162">
            <v>1</v>
          </cell>
          <cell r="I162">
            <v>9.1</v>
          </cell>
          <cell r="J162">
            <v>31.2</v>
          </cell>
          <cell r="K162">
            <v>0</v>
          </cell>
          <cell r="L162">
            <v>0</v>
          </cell>
          <cell r="M162">
            <v>0</v>
          </cell>
          <cell r="N162">
            <v>0.9</v>
          </cell>
          <cell r="O162">
            <v>0</v>
          </cell>
          <cell r="P162">
            <v>0</v>
          </cell>
          <cell r="Q162">
            <v>0</v>
          </cell>
          <cell r="R162">
            <v>9</v>
          </cell>
          <cell r="S162">
            <v>8.5</v>
          </cell>
          <cell r="T162">
            <v>0</v>
          </cell>
          <cell r="U162">
            <v>2.1</v>
          </cell>
          <cell r="V162">
            <v>10.6</v>
          </cell>
          <cell r="W162">
            <v>3</v>
          </cell>
          <cell r="X162">
            <v>0</v>
          </cell>
          <cell r="Y162">
            <v>0</v>
          </cell>
          <cell r="Z162">
            <v>0</v>
          </cell>
        </row>
        <row r="163">
          <cell r="A163">
            <v>43162</v>
          </cell>
          <cell r="B163">
            <v>162</v>
          </cell>
          <cell r="C163">
            <v>5.2</v>
          </cell>
          <cell r="D163">
            <v>17.8</v>
          </cell>
          <cell r="E163">
            <v>3.44</v>
          </cell>
          <cell r="F163">
            <v>7.6</v>
          </cell>
          <cell r="G163">
            <v>0.1</v>
          </cell>
          <cell r="H163">
            <v>0</v>
          </cell>
          <cell r="I163">
            <v>7.4</v>
          </cell>
          <cell r="J163">
            <v>13.4</v>
          </cell>
          <cell r="K163">
            <v>0</v>
          </cell>
          <cell r="L163">
            <v>0.1</v>
          </cell>
          <cell r="M163">
            <v>0</v>
          </cell>
          <cell r="N163">
            <v>0</v>
          </cell>
          <cell r="O163">
            <v>0.1</v>
          </cell>
          <cell r="P163">
            <v>0</v>
          </cell>
          <cell r="Q163">
            <v>0</v>
          </cell>
          <cell r="R163">
            <v>7.3</v>
          </cell>
          <cell r="S163">
            <v>4.2</v>
          </cell>
          <cell r="T163">
            <v>0</v>
          </cell>
          <cell r="U163">
            <v>1</v>
          </cell>
          <cell r="V163">
            <v>0.6</v>
          </cell>
          <cell r="W163">
            <v>1</v>
          </cell>
          <cell r="X163">
            <v>0</v>
          </cell>
          <cell r="Y163">
            <v>0</v>
          </cell>
          <cell r="Z163">
            <v>0</v>
          </cell>
        </row>
        <row r="164">
          <cell r="A164">
            <v>43163</v>
          </cell>
          <cell r="B164">
            <v>163</v>
          </cell>
          <cell r="C164">
            <v>62.4</v>
          </cell>
          <cell r="D164">
            <v>164.5</v>
          </cell>
          <cell r="E164">
            <v>2.64</v>
          </cell>
          <cell r="F164">
            <v>22.3</v>
          </cell>
          <cell r="G164">
            <v>1.4</v>
          </cell>
          <cell r="H164">
            <v>0.4</v>
          </cell>
          <cell r="I164">
            <v>20.5</v>
          </cell>
          <cell r="J164">
            <v>38.5</v>
          </cell>
          <cell r="K164">
            <v>0.5</v>
          </cell>
          <cell r="L164">
            <v>0.9</v>
          </cell>
          <cell r="M164">
            <v>0.2</v>
          </cell>
          <cell r="N164">
            <v>0.2</v>
          </cell>
          <cell r="O164">
            <v>1</v>
          </cell>
          <cell r="P164">
            <v>0.6</v>
          </cell>
          <cell r="Q164">
            <v>0.3</v>
          </cell>
          <cell r="R164">
            <v>18.7</v>
          </cell>
          <cell r="S164">
            <v>4.2</v>
          </cell>
          <cell r="T164">
            <v>0</v>
          </cell>
          <cell r="U164">
            <v>4.2</v>
          </cell>
          <cell r="V164">
            <v>7.8</v>
          </cell>
          <cell r="W164">
            <v>8</v>
          </cell>
          <cell r="X164">
            <v>0</v>
          </cell>
          <cell r="Y164">
            <v>6</v>
          </cell>
          <cell r="Z164">
            <v>0</v>
          </cell>
        </row>
        <row r="165">
          <cell r="A165">
            <v>43164</v>
          </cell>
          <cell r="B165">
            <v>164</v>
          </cell>
          <cell r="C165">
            <v>16.2</v>
          </cell>
          <cell r="D165">
            <v>43.7</v>
          </cell>
          <cell r="E165">
            <v>2.69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2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2</v>
          </cell>
          <cell r="W165">
            <v>5</v>
          </cell>
          <cell r="X165">
            <v>0</v>
          </cell>
          <cell r="Y165">
            <v>0</v>
          </cell>
          <cell r="Z165">
            <v>0</v>
          </cell>
        </row>
        <row r="166">
          <cell r="A166">
            <v>43165</v>
          </cell>
          <cell r="B166">
            <v>165</v>
          </cell>
          <cell r="C166">
            <v>8</v>
          </cell>
          <cell r="D166">
            <v>23.8</v>
          </cell>
          <cell r="E166">
            <v>2.96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2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1</v>
          </cell>
          <cell r="V166">
            <v>1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</row>
        <row r="167">
          <cell r="A167">
            <v>43166</v>
          </cell>
          <cell r="B167">
            <v>166</v>
          </cell>
          <cell r="C167">
            <v>10.7</v>
          </cell>
          <cell r="D167">
            <v>37</v>
          </cell>
          <cell r="E167">
            <v>3.46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3.4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2.1</v>
          </cell>
          <cell r="V167">
            <v>1.3</v>
          </cell>
          <cell r="W167">
            <v>2</v>
          </cell>
          <cell r="X167">
            <v>0</v>
          </cell>
          <cell r="Y167">
            <v>0</v>
          </cell>
          <cell r="Z167">
            <v>0</v>
          </cell>
        </row>
        <row r="168">
          <cell r="A168">
            <v>43167</v>
          </cell>
          <cell r="B168">
            <v>167</v>
          </cell>
          <cell r="C168">
            <v>32.5</v>
          </cell>
          <cell r="D168">
            <v>125.4</v>
          </cell>
          <cell r="E168">
            <v>3.85</v>
          </cell>
          <cell r="F168">
            <v>1</v>
          </cell>
          <cell r="G168">
            <v>0.2</v>
          </cell>
          <cell r="H168">
            <v>0.1</v>
          </cell>
          <cell r="I168">
            <v>0.7</v>
          </cell>
          <cell r="J168">
            <v>62.1</v>
          </cell>
          <cell r="K168">
            <v>0.1</v>
          </cell>
          <cell r="L168">
            <v>0.1</v>
          </cell>
          <cell r="M168">
            <v>0</v>
          </cell>
          <cell r="N168">
            <v>0</v>
          </cell>
          <cell r="O168">
            <v>0.2</v>
          </cell>
          <cell r="P168">
            <v>0.1</v>
          </cell>
          <cell r="Q168">
            <v>0.1</v>
          </cell>
          <cell r="R168">
            <v>0.4</v>
          </cell>
          <cell r="S168">
            <v>42.5</v>
          </cell>
          <cell r="T168">
            <v>0</v>
          </cell>
          <cell r="U168">
            <v>14.6</v>
          </cell>
          <cell r="V168">
            <v>4</v>
          </cell>
          <cell r="W168">
            <v>8</v>
          </cell>
          <cell r="X168">
            <v>0</v>
          </cell>
          <cell r="Y168">
            <v>0</v>
          </cell>
          <cell r="Z168">
            <v>0</v>
          </cell>
        </row>
        <row r="169">
          <cell r="A169">
            <v>43168</v>
          </cell>
          <cell r="B169">
            <v>168</v>
          </cell>
          <cell r="C169">
            <v>102.2</v>
          </cell>
          <cell r="D169">
            <v>252.6</v>
          </cell>
          <cell r="E169">
            <v>2.4700000000000002</v>
          </cell>
          <cell r="F169">
            <v>9.6</v>
          </cell>
          <cell r="G169">
            <v>0.7</v>
          </cell>
          <cell r="H169">
            <v>3.2</v>
          </cell>
          <cell r="I169">
            <v>5.7</v>
          </cell>
          <cell r="J169">
            <v>71.2</v>
          </cell>
          <cell r="K169">
            <v>0.2</v>
          </cell>
          <cell r="L169">
            <v>0.5</v>
          </cell>
          <cell r="M169">
            <v>0.1</v>
          </cell>
          <cell r="N169">
            <v>3.1</v>
          </cell>
          <cell r="O169">
            <v>2.4</v>
          </cell>
          <cell r="P169">
            <v>0.3</v>
          </cell>
          <cell r="Q169">
            <v>0.2</v>
          </cell>
          <cell r="R169">
            <v>2.9</v>
          </cell>
          <cell r="S169">
            <v>0</v>
          </cell>
          <cell r="T169">
            <v>0</v>
          </cell>
          <cell r="U169">
            <v>48.9</v>
          </cell>
          <cell r="V169">
            <v>12.7</v>
          </cell>
          <cell r="W169">
            <v>18</v>
          </cell>
          <cell r="X169">
            <v>0</v>
          </cell>
          <cell r="Y169">
            <v>0</v>
          </cell>
          <cell r="Z169">
            <v>0</v>
          </cell>
        </row>
        <row r="170">
          <cell r="A170">
            <v>43169</v>
          </cell>
          <cell r="B170">
            <v>169</v>
          </cell>
          <cell r="C170">
            <v>20.6</v>
          </cell>
          <cell r="D170">
            <v>52.4</v>
          </cell>
          <cell r="E170">
            <v>2.54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15.1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12.5</v>
          </cell>
          <cell r="V170">
            <v>2.6</v>
          </cell>
          <cell r="W170">
            <v>5</v>
          </cell>
          <cell r="X170">
            <v>0</v>
          </cell>
          <cell r="Y170">
            <v>0</v>
          </cell>
          <cell r="Z170">
            <v>0</v>
          </cell>
        </row>
        <row r="171">
          <cell r="A171">
            <v>43170</v>
          </cell>
          <cell r="B171">
            <v>170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1</v>
          </cell>
          <cell r="X171">
            <v>0</v>
          </cell>
          <cell r="Y171">
            <v>0</v>
          </cell>
          <cell r="Z171">
            <v>0</v>
          </cell>
        </row>
        <row r="172">
          <cell r="A172">
            <v>43171</v>
          </cell>
          <cell r="B172">
            <v>171</v>
          </cell>
          <cell r="C172">
            <v>8.9</v>
          </cell>
          <cell r="D172">
            <v>26.4</v>
          </cell>
          <cell r="E172">
            <v>2.96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4.2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3.1</v>
          </cell>
          <cell r="V172">
            <v>1.1000000000000001</v>
          </cell>
          <cell r="W172">
            <v>2</v>
          </cell>
          <cell r="X172">
            <v>0</v>
          </cell>
          <cell r="Y172">
            <v>0</v>
          </cell>
          <cell r="Z172">
            <v>0</v>
          </cell>
        </row>
        <row r="173">
          <cell r="A173">
            <v>43172</v>
          </cell>
          <cell r="B173">
            <v>172</v>
          </cell>
          <cell r="C173">
            <v>218.1</v>
          </cell>
          <cell r="D173">
            <v>701.5</v>
          </cell>
          <cell r="E173">
            <v>3.22</v>
          </cell>
          <cell r="F173">
            <v>28.8</v>
          </cell>
          <cell r="G173">
            <v>1.6</v>
          </cell>
          <cell r="H173">
            <v>3.5</v>
          </cell>
          <cell r="I173">
            <v>23.7</v>
          </cell>
          <cell r="J173">
            <v>117.4</v>
          </cell>
          <cell r="K173">
            <v>0.6</v>
          </cell>
          <cell r="L173">
            <v>1</v>
          </cell>
          <cell r="M173">
            <v>0.2</v>
          </cell>
          <cell r="N173">
            <v>3.3</v>
          </cell>
          <cell r="O173">
            <v>2.8</v>
          </cell>
          <cell r="P173">
            <v>17.7</v>
          </cell>
          <cell r="Q173">
            <v>0.4</v>
          </cell>
          <cell r="R173">
            <v>2.9</v>
          </cell>
          <cell r="S173">
            <v>8.5</v>
          </cell>
          <cell r="T173">
            <v>0</v>
          </cell>
          <cell r="U173">
            <v>53</v>
          </cell>
          <cell r="V173">
            <v>27.1</v>
          </cell>
          <cell r="W173">
            <v>40</v>
          </cell>
          <cell r="X173">
            <v>0</v>
          </cell>
          <cell r="Y173">
            <v>0</v>
          </cell>
          <cell r="Z173">
            <v>0</v>
          </cell>
        </row>
        <row r="174">
          <cell r="A174">
            <v>43173</v>
          </cell>
          <cell r="B174">
            <v>173</v>
          </cell>
          <cell r="C174">
            <v>3</v>
          </cell>
          <cell r="D174">
            <v>7.3</v>
          </cell>
          <cell r="E174">
            <v>2.42</v>
          </cell>
          <cell r="F174">
            <v>1.1000000000000001</v>
          </cell>
          <cell r="G174">
            <v>0.2</v>
          </cell>
          <cell r="H174">
            <v>0.1</v>
          </cell>
          <cell r="I174">
            <v>0.8</v>
          </cell>
          <cell r="J174">
            <v>25.9</v>
          </cell>
          <cell r="K174">
            <v>0.1</v>
          </cell>
          <cell r="L174">
            <v>0.2</v>
          </cell>
          <cell r="M174">
            <v>0</v>
          </cell>
          <cell r="N174">
            <v>0</v>
          </cell>
          <cell r="O174">
            <v>0.2</v>
          </cell>
          <cell r="P174">
            <v>0.1</v>
          </cell>
          <cell r="Q174">
            <v>0.1</v>
          </cell>
          <cell r="R174">
            <v>0.4</v>
          </cell>
          <cell r="S174">
            <v>21.2</v>
          </cell>
          <cell r="T174">
            <v>0</v>
          </cell>
          <cell r="U174">
            <v>3.1</v>
          </cell>
          <cell r="V174">
            <v>0.4</v>
          </cell>
          <cell r="W174">
            <v>1</v>
          </cell>
          <cell r="X174">
            <v>0</v>
          </cell>
          <cell r="Y174">
            <v>0</v>
          </cell>
          <cell r="Z174">
            <v>0</v>
          </cell>
        </row>
        <row r="175">
          <cell r="A175">
            <v>43174</v>
          </cell>
          <cell r="B175">
            <v>174</v>
          </cell>
          <cell r="C175">
            <v>22.2</v>
          </cell>
          <cell r="D175">
            <v>64.400000000000006</v>
          </cell>
          <cell r="E175">
            <v>2.9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2.8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2.8</v>
          </cell>
          <cell r="W175">
            <v>10</v>
          </cell>
          <cell r="X175">
            <v>0</v>
          </cell>
          <cell r="Y175">
            <v>0</v>
          </cell>
          <cell r="Z175">
            <v>0</v>
          </cell>
        </row>
        <row r="176">
          <cell r="A176">
            <v>43175</v>
          </cell>
          <cell r="B176">
            <v>175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</row>
        <row r="177">
          <cell r="A177">
            <v>43176</v>
          </cell>
          <cell r="B177">
            <v>176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1</v>
          </cell>
          <cell r="X177">
            <v>0</v>
          </cell>
          <cell r="Y177">
            <v>0</v>
          </cell>
          <cell r="Z177">
            <v>0</v>
          </cell>
        </row>
        <row r="178">
          <cell r="A178">
            <v>43177</v>
          </cell>
          <cell r="B178">
            <v>177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</row>
        <row r="179">
          <cell r="A179">
            <v>43178</v>
          </cell>
          <cell r="B179">
            <v>178</v>
          </cell>
          <cell r="C179">
            <v>3.6</v>
          </cell>
          <cell r="D179">
            <v>10.1</v>
          </cell>
          <cell r="E179">
            <v>2.81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1.4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1</v>
          </cell>
          <cell r="V179">
            <v>0.4</v>
          </cell>
          <cell r="W179">
            <v>1</v>
          </cell>
          <cell r="X179">
            <v>0</v>
          </cell>
          <cell r="Y179">
            <v>0</v>
          </cell>
          <cell r="Z179">
            <v>0</v>
          </cell>
        </row>
        <row r="180">
          <cell r="A180">
            <v>43179</v>
          </cell>
          <cell r="B180">
            <v>179</v>
          </cell>
          <cell r="C180">
            <v>27.4</v>
          </cell>
          <cell r="D180">
            <v>33.4</v>
          </cell>
          <cell r="E180">
            <v>1.22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6.5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3.1</v>
          </cell>
          <cell r="V180">
            <v>3.4</v>
          </cell>
          <cell r="W180">
            <v>30</v>
          </cell>
          <cell r="X180">
            <v>113</v>
          </cell>
          <cell r="Y180">
            <v>0</v>
          </cell>
          <cell r="Z180">
            <v>0</v>
          </cell>
        </row>
        <row r="181">
          <cell r="A181">
            <v>43180</v>
          </cell>
          <cell r="B181">
            <v>180</v>
          </cell>
          <cell r="C181">
            <v>355.2</v>
          </cell>
          <cell r="D181">
            <v>869.3</v>
          </cell>
          <cell r="E181">
            <v>2.4500000000000002</v>
          </cell>
          <cell r="F181">
            <v>1478.2</v>
          </cell>
          <cell r="G181">
            <v>158.1</v>
          </cell>
          <cell r="H181">
            <v>65.599999999999994</v>
          </cell>
          <cell r="I181">
            <v>1254.5</v>
          </cell>
          <cell r="J181">
            <v>1676.1</v>
          </cell>
          <cell r="K181">
            <v>69.599999999999994</v>
          </cell>
          <cell r="L181">
            <v>88.4</v>
          </cell>
          <cell r="M181">
            <v>4.4000000000000004</v>
          </cell>
          <cell r="N181">
            <v>61.2</v>
          </cell>
          <cell r="O181">
            <v>109.6</v>
          </cell>
          <cell r="P181">
            <v>813.4</v>
          </cell>
          <cell r="Q181">
            <v>79.2</v>
          </cell>
          <cell r="R181">
            <v>252.3</v>
          </cell>
          <cell r="S181">
            <v>0</v>
          </cell>
          <cell r="T181">
            <v>0</v>
          </cell>
          <cell r="U181">
            <v>153.9</v>
          </cell>
          <cell r="V181">
            <v>44.1</v>
          </cell>
          <cell r="W181">
            <v>67</v>
          </cell>
          <cell r="X181">
            <v>0</v>
          </cell>
          <cell r="Y181">
            <v>0</v>
          </cell>
          <cell r="Z181">
            <v>0</v>
          </cell>
        </row>
        <row r="182">
          <cell r="A182">
            <v>43181</v>
          </cell>
          <cell r="B182">
            <v>181</v>
          </cell>
          <cell r="C182">
            <v>11</v>
          </cell>
          <cell r="D182">
            <v>23.4</v>
          </cell>
          <cell r="E182">
            <v>2.12</v>
          </cell>
          <cell r="F182">
            <v>1.1000000000000001</v>
          </cell>
          <cell r="G182">
            <v>0</v>
          </cell>
          <cell r="H182">
            <v>1.1000000000000001</v>
          </cell>
          <cell r="I182">
            <v>0</v>
          </cell>
          <cell r="J182">
            <v>5.6</v>
          </cell>
          <cell r="K182">
            <v>0</v>
          </cell>
          <cell r="L182">
            <v>0</v>
          </cell>
          <cell r="M182">
            <v>1.1000000000000001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3.1</v>
          </cell>
          <cell r="V182">
            <v>1.4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</row>
        <row r="183">
          <cell r="A183">
            <v>43182</v>
          </cell>
          <cell r="B183">
            <v>182</v>
          </cell>
          <cell r="C183">
            <v>11.2</v>
          </cell>
          <cell r="D183">
            <v>31.6</v>
          </cell>
          <cell r="E183">
            <v>2.81</v>
          </cell>
          <cell r="F183">
            <v>2.1</v>
          </cell>
          <cell r="G183">
            <v>0.5</v>
          </cell>
          <cell r="H183">
            <v>0.1</v>
          </cell>
          <cell r="I183">
            <v>1.5</v>
          </cell>
          <cell r="J183">
            <v>13.9</v>
          </cell>
          <cell r="K183">
            <v>0.2</v>
          </cell>
          <cell r="L183">
            <v>0.3</v>
          </cell>
          <cell r="M183">
            <v>0.1</v>
          </cell>
          <cell r="N183">
            <v>0.1</v>
          </cell>
          <cell r="O183">
            <v>0.4</v>
          </cell>
          <cell r="P183">
            <v>0.2</v>
          </cell>
          <cell r="Q183">
            <v>0.1</v>
          </cell>
          <cell r="R183">
            <v>0.9</v>
          </cell>
          <cell r="S183">
            <v>0</v>
          </cell>
          <cell r="T183">
            <v>0</v>
          </cell>
          <cell r="U183">
            <v>10.4</v>
          </cell>
          <cell r="V183">
            <v>1.4</v>
          </cell>
          <cell r="W183">
            <v>100</v>
          </cell>
          <cell r="X183">
            <v>0</v>
          </cell>
          <cell r="Y183">
            <v>0</v>
          </cell>
          <cell r="Z183">
            <v>303</v>
          </cell>
        </row>
        <row r="184">
          <cell r="A184">
            <v>43183</v>
          </cell>
          <cell r="B184">
            <v>183</v>
          </cell>
          <cell r="C184">
            <v>0</v>
          </cell>
          <cell r="D184">
            <v>0</v>
          </cell>
          <cell r="E184">
            <v>0</v>
          </cell>
          <cell r="F184">
            <v>283.5</v>
          </cell>
          <cell r="G184">
            <v>76.7</v>
          </cell>
          <cell r="H184">
            <v>18</v>
          </cell>
          <cell r="I184">
            <v>188.9</v>
          </cell>
          <cell r="J184">
            <v>333.2</v>
          </cell>
          <cell r="K184">
            <v>25.8</v>
          </cell>
          <cell r="L184">
            <v>50.9</v>
          </cell>
          <cell r="M184">
            <v>7.4</v>
          </cell>
          <cell r="N184">
            <v>10.5</v>
          </cell>
          <cell r="O184">
            <v>41.9</v>
          </cell>
          <cell r="P184">
            <v>24.1</v>
          </cell>
          <cell r="Q184">
            <v>14.2</v>
          </cell>
          <cell r="R184">
            <v>108.7</v>
          </cell>
          <cell r="S184">
            <v>42.5</v>
          </cell>
          <cell r="T184">
            <v>0</v>
          </cell>
          <cell r="U184">
            <v>7.3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60</v>
          </cell>
        </row>
        <row r="185">
          <cell r="A185">
            <v>43184</v>
          </cell>
          <cell r="B185">
            <v>184</v>
          </cell>
          <cell r="C185">
            <v>329.2</v>
          </cell>
          <cell r="D185">
            <v>987.9</v>
          </cell>
          <cell r="E185">
            <v>3</v>
          </cell>
          <cell r="F185">
            <v>252.1</v>
          </cell>
          <cell r="G185">
            <v>57</v>
          </cell>
          <cell r="H185">
            <v>13.4</v>
          </cell>
          <cell r="I185">
            <v>181.7</v>
          </cell>
          <cell r="J185">
            <v>383.4</v>
          </cell>
          <cell r="K185">
            <v>34.4</v>
          </cell>
          <cell r="L185">
            <v>22.6</v>
          </cell>
          <cell r="M185">
            <v>6.5</v>
          </cell>
          <cell r="N185">
            <v>6.9</v>
          </cell>
          <cell r="O185">
            <v>29.5</v>
          </cell>
          <cell r="P185">
            <v>54.5</v>
          </cell>
          <cell r="Q185">
            <v>18.899999999999999</v>
          </cell>
          <cell r="R185">
            <v>78.8</v>
          </cell>
          <cell r="S185">
            <v>0</v>
          </cell>
          <cell r="T185">
            <v>0</v>
          </cell>
          <cell r="U185">
            <v>90.4</v>
          </cell>
          <cell r="V185">
            <v>40.9</v>
          </cell>
          <cell r="W185">
            <v>69</v>
          </cell>
          <cell r="X185">
            <v>0</v>
          </cell>
          <cell r="Y185">
            <v>0</v>
          </cell>
          <cell r="Z185">
            <v>0</v>
          </cell>
        </row>
        <row r="186">
          <cell r="A186">
            <v>43185</v>
          </cell>
          <cell r="B186">
            <v>185</v>
          </cell>
          <cell r="C186">
            <v>107.1</v>
          </cell>
          <cell r="D186">
            <v>249.1</v>
          </cell>
          <cell r="E186">
            <v>2.33</v>
          </cell>
          <cell r="F186">
            <v>21</v>
          </cell>
          <cell r="G186">
            <v>0.7</v>
          </cell>
          <cell r="H186">
            <v>5.5</v>
          </cell>
          <cell r="I186">
            <v>14.8</v>
          </cell>
          <cell r="J186">
            <v>87.2</v>
          </cell>
          <cell r="K186">
            <v>0.3</v>
          </cell>
          <cell r="L186">
            <v>0.5</v>
          </cell>
          <cell r="M186">
            <v>0.1</v>
          </cell>
          <cell r="N186">
            <v>5.5</v>
          </cell>
          <cell r="O186">
            <v>13</v>
          </cell>
          <cell r="P186">
            <v>0.3</v>
          </cell>
          <cell r="Q186">
            <v>0.2</v>
          </cell>
          <cell r="R186">
            <v>1.3</v>
          </cell>
          <cell r="S186">
            <v>42.5</v>
          </cell>
          <cell r="T186">
            <v>0</v>
          </cell>
          <cell r="U186">
            <v>10.4</v>
          </cell>
          <cell r="V186">
            <v>13.3</v>
          </cell>
          <cell r="W186">
            <v>16</v>
          </cell>
          <cell r="X186">
            <v>0</v>
          </cell>
          <cell r="Y186">
            <v>0</v>
          </cell>
          <cell r="Z186">
            <v>0</v>
          </cell>
        </row>
        <row r="187">
          <cell r="A187">
            <v>43186</v>
          </cell>
          <cell r="B187">
            <v>186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</row>
        <row r="188">
          <cell r="A188">
            <v>43187</v>
          </cell>
          <cell r="B188">
            <v>187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</row>
        <row r="189">
          <cell r="A189">
            <v>43188</v>
          </cell>
          <cell r="B189">
            <v>188</v>
          </cell>
          <cell r="C189">
            <v>6.2</v>
          </cell>
          <cell r="D189">
            <v>13.1</v>
          </cell>
          <cell r="E189">
            <v>2.12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1.8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1</v>
          </cell>
          <cell r="V189">
            <v>0.8</v>
          </cell>
          <cell r="W189">
            <v>2</v>
          </cell>
          <cell r="X189">
            <v>0</v>
          </cell>
          <cell r="Y189">
            <v>0</v>
          </cell>
          <cell r="Z189">
            <v>0</v>
          </cell>
        </row>
        <row r="190">
          <cell r="A190">
            <v>43189</v>
          </cell>
          <cell r="B190">
            <v>189</v>
          </cell>
          <cell r="C190">
            <v>10.6</v>
          </cell>
          <cell r="D190">
            <v>27.3</v>
          </cell>
          <cell r="E190">
            <v>2.58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3.4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2.1</v>
          </cell>
          <cell r="V190">
            <v>1.3</v>
          </cell>
          <cell r="W190">
            <v>3</v>
          </cell>
          <cell r="X190">
            <v>0</v>
          </cell>
          <cell r="Y190">
            <v>0</v>
          </cell>
          <cell r="Z190">
            <v>0</v>
          </cell>
        </row>
        <row r="191">
          <cell r="A191">
            <v>43190</v>
          </cell>
          <cell r="B191">
            <v>190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1</v>
          </cell>
          <cell r="X191">
            <v>0</v>
          </cell>
          <cell r="Y191">
            <v>0</v>
          </cell>
          <cell r="Z191">
            <v>0</v>
          </cell>
        </row>
        <row r="192">
          <cell r="A192">
            <v>43191</v>
          </cell>
          <cell r="B192">
            <v>191</v>
          </cell>
          <cell r="C192">
            <v>16.899999999999999</v>
          </cell>
          <cell r="D192">
            <v>54</v>
          </cell>
          <cell r="E192">
            <v>3.2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6.3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4.2</v>
          </cell>
          <cell r="V192">
            <v>2.1</v>
          </cell>
          <cell r="W192">
            <v>7</v>
          </cell>
          <cell r="X192">
            <v>0</v>
          </cell>
          <cell r="Y192">
            <v>0</v>
          </cell>
          <cell r="Z192">
            <v>0</v>
          </cell>
        </row>
        <row r="193">
          <cell r="A193">
            <v>43192</v>
          </cell>
          <cell r="B193">
            <v>192</v>
          </cell>
          <cell r="C193">
            <v>43.6</v>
          </cell>
          <cell r="D193">
            <v>150.5</v>
          </cell>
          <cell r="E193">
            <v>3.45</v>
          </cell>
          <cell r="F193">
            <v>6.9</v>
          </cell>
          <cell r="G193">
            <v>1.6</v>
          </cell>
          <cell r="H193">
            <v>0.3</v>
          </cell>
          <cell r="I193">
            <v>5</v>
          </cell>
          <cell r="J193">
            <v>58</v>
          </cell>
          <cell r="K193">
            <v>1</v>
          </cell>
          <cell r="L193">
            <v>0.6</v>
          </cell>
          <cell r="M193">
            <v>0.1</v>
          </cell>
          <cell r="N193">
            <v>0.2</v>
          </cell>
          <cell r="O193">
            <v>2.7</v>
          </cell>
          <cell r="P193">
            <v>0.4</v>
          </cell>
          <cell r="Q193">
            <v>0.2</v>
          </cell>
          <cell r="R193">
            <v>1.7</v>
          </cell>
          <cell r="S193">
            <v>42.5</v>
          </cell>
          <cell r="T193">
            <v>0</v>
          </cell>
          <cell r="U193">
            <v>3.1</v>
          </cell>
          <cell r="V193">
            <v>5.4</v>
          </cell>
          <cell r="W193">
            <v>6</v>
          </cell>
          <cell r="X193">
            <v>0</v>
          </cell>
          <cell r="Y193">
            <v>0</v>
          </cell>
          <cell r="Z193">
            <v>0</v>
          </cell>
        </row>
        <row r="194">
          <cell r="A194">
            <v>43193</v>
          </cell>
          <cell r="B194">
            <v>193</v>
          </cell>
          <cell r="C194">
            <v>86.7</v>
          </cell>
          <cell r="D194">
            <v>176.4</v>
          </cell>
          <cell r="E194">
            <v>2.04</v>
          </cell>
          <cell r="F194">
            <v>64.5</v>
          </cell>
          <cell r="G194">
            <v>0.5</v>
          </cell>
          <cell r="H194">
            <v>59.3</v>
          </cell>
          <cell r="I194">
            <v>4.7</v>
          </cell>
          <cell r="J194">
            <v>122</v>
          </cell>
          <cell r="K194">
            <v>0.2</v>
          </cell>
          <cell r="L194">
            <v>0.3</v>
          </cell>
          <cell r="M194">
            <v>59.3</v>
          </cell>
          <cell r="N194">
            <v>0.1</v>
          </cell>
          <cell r="O194">
            <v>3.6</v>
          </cell>
          <cell r="P194">
            <v>0.2</v>
          </cell>
          <cell r="Q194">
            <v>0.1</v>
          </cell>
          <cell r="R194">
            <v>0.8</v>
          </cell>
          <cell r="S194">
            <v>42.5</v>
          </cell>
          <cell r="T194">
            <v>0</v>
          </cell>
          <cell r="U194">
            <v>4.2</v>
          </cell>
          <cell r="V194">
            <v>10.8</v>
          </cell>
          <cell r="W194">
            <v>19</v>
          </cell>
          <cell r="X194">
            <v>0</v>
          </cell>
          <cell r="Y194">
            <v>0</v>
          </cell>
          <cell r="Z194">
            <v>0</v>
          </cell>
        </row>
        <row r="195">
          <cell r="A195">
            <v>43194</v>
          </cell>
          <cell r="B195">
            <v>194</v>
          </cell>
          <cell r="C195">
            <v>7.3</v>
          </cell>
          <cell r="D195">
            <v>19.600000000000001</v>
          </cell>
          <cell r="E195">
            <v>2.67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1.9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1</v>
          </cell>
          <cell r="V195">
            <v>0.9</v>
          </cell>
          <cell r="W195">
            <v>1</v>
          </cell>
          <cell r="X195">
            <v>0</v>
          </cell>
          <cell r="Y195">
            <v>0</v>
          </cell>
          <cell r="Z195">
            <v>0</v>
          </cell>
        </row>
        <row r="196">
          <cell r="A196">
            <v>43195</v>
          </cell>
          <cell r="B196">
            <v>195</v>
          </cell>
          <cell r="C196">
            <v>1.9</v>
          </cell>
          <cell r="D196">
            <v>3.4</v>
          </cell>
          <cell r="E196">
            <v>1.78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0.2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0.2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</row>
        <row r="197">
          <cell r="A197">
            <v>43196</v>
          </cell>
          <cell r="B197">
            <v>196</v>
          </cell>
          <cell r="C197">
            <v>11.9</v>
          </cell>
          <cell r="D197">
            <v>26.8</v>
          </cell>
          <cell r="E197">
            <v>2.25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3.6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2.1</v>
          </cell>
          <cell r="V197">
            <v>1.5</v>
          </cell>
          <cell r="W197">
            <v>5</v>
          </cell>
          <cell r="X197">
            <v>0</v>
          </cell>
          <cell r="Y197">
            <v>0</v>
          </cell>
          <cell r="Z197">
            <v>0</v>
          </cell>
        </row>
        <row r="198">
          <cell r="A198">
            <v>43197</v>
          </cell>
          <cell r="B198">
            <v>197</v>
          </cell>
          <cell r="C198">
            <v>37</v>
          </cell>
          <cell r="D198">
            <v>107.5</v>
          </cell>
          <cell r="E198">
            <v>2.9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8.8000000000000007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4.2</v>
          </cell>
          <cell r="V198">
            <v>4.5999999999999996</v>
          </cell>
          <cell r="W198">
            <v>7</v>
          </cell>
          <cell r="X198">
            <v>0</v>
          </cell>
          <cell r="Y198">
            <v>0</v>
          </cell>
          <cell r="Z198">
            <v>0</v>
          </cell>
        </row>
        <row r="199">
          <cell r="A199">
            <v>43198</v>
          </cell>
          <cell r="B199">
            <v>198</v>
          </cell>
          <cell r="C199">
            <v>79.8</v>
          </cell>
          <cell r="D199">
            <v>205.8</v>
          </cell>
          <cell r="E199">
            <v>2.58</v>
          </cell>
          <cell r="F199">
            <v>54.8</v>
          </cell>
          <cell r="G199">
            <v>0.3</v>
          </cell>
          <cell r="H199">
            <v>0.1</v>
          </cell>
          <cell r="I199">
            <v>54.3</v>
          </cell>
          <cell r="J199">
            <v>114.4</v>
          </cell>
          <cell r="K199">
            <v>0.1</v>
          </cell>
          <cell r="L199">
            <v>0.2</v>
          </cell>
          <cell r="M199">
            <v>0</v>
          </cell>
          <cell r="N199">
            <v>0.1</v>
          </cell>
          <cell r="O199">
            <v>53.6</v>
          </cell>
          <cell r="P199">
            <v>0.1</v>
          </cell>
          <cell r="Q199">
            <v>0.1</v>
          </cell>
          <cell r="R199">
            <v>0.6</v>
          </cell>
          <cell r="S199">
            <v>42.5</v>
          </cell>
          <cell r="T199">
            <v>0</v>
          </cell>
          <cell r="U199">
            <v>7.3</v>
          </cell>
          <cell r="V199">
            <v>9.9</v>
          </cell>
          <cell r="W199">
            <v>9</v>
          </cell>
          <cell r="X199">
            <v>0</v>
          </cell>
          <cell r="Y199">
            <v>0</v>
          </cell>
          <cell r="Z199">
            <v>0</v>
          </cell>
        </row>
        <row r="200">
          <cell r="A200">
            <v>43199</v>
          </cell>
          <cell r="B200">
            <v>199</v>
          </cell>
          <cell r="C200">
            <v>17.899999999999999</v>
          </cell>
          <cell r="D200">
            <v>31.8</v>
          </cell>
          <cell r="E200">
            <v>1.78</v>
          </cell>
          <cell r="F200">
            <v>4.8</v>
          </cell>
          <cell r="G200">
            <v>0.7</v>
          </cell>
          <cell r="H200">
            <v>0.2</v>
          </cell>
          <cell r="I200">
            <v>4</v>
          </cell>
          <cell r="J200">
            <v>10.1</v>
          </cell>
          <cell r="K200">
            <v>0.2</v>
          </cell>
          <cell r="L200">
            <v>0.4</v>
          </cell>
          <cell r="M200">
            <v>0.1</v>
          </cell>
          <cell r="N200">
            <v>0.1</v>
          </cell>
          <cell r="O200">
            <v>2.2999999999999998</v>
          </cell>
          <cell r="P200">
            <v>0.3</v>
          </cell>
          <cell r="Q200">
            <v>0.2</v>
          </cell>
          <cell r="R200">
            <v>1.2</v>
          </cell>
          <cell r="S200">
            <v>0</v>
          </cell>
          <cell r="T200">
            <v>0</v>
          </cell>
          <cell r="U200">
            <v>3.1</v>
          </cell>
          <cell r="V200">
            <v>2.2000000000000002</v>
          </cell>
          <cell r="W200">
            <v>1</v>
          </cell>
          <cell r="X200">
            <v>0</v>
          </cell>
          <cell r="Y200">
            <v>0</v>
          </cell>
          <cell r="Z200">
            <v>0</v>
          </cell>
        </row>
        <row r="201">
          <cell r="A201">
            <v>43200</v>
          </cell>
          <cell r="B201">
            <v>200</v>
          </cell>
          <cell r="C201">
            <v>13.6</v>
          </cell>
          <cell r="D201">
            <v>31.7</v>
          </cell>
          <cell r="E201">
            <v>2.34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27.4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22.6</v>
          </cell>
          <cell r="U201">
            <v>3.1</v>
          </cell>
          <cell r="V201">
            <v>1.7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</row>
        <row r="202">
          <cell r="A202">
            <v>43201</v>
          </cell>
          <cell r="B202">
            <v>201</v>
          </cell>
          <cell r="C202">
            <v>2.9</v>
          </cell>
          <cell r="D202">
            <v>5.0999999999999996</v>
          </cell>
          <cell r="E202">
            <v>1.78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0.4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0.4</v>
          </cell>
          <cell r="W202">
            <v>11</v>
          </cell>
          <cell r="X202">
            <v>0</v>
          </cell>
          <cell r="Y202">
            <v>0</v>
          </cell>
          <cell r="Z202">
            <v>0</v>
          </cell>
        </row>
        <row r="203">
          <cell r="A203">
            <v>43202</v>
          </cell>
          <cell r="B203">
            <v>202</v>
          </cell>
          <cell r="C203">
            <v>24.2</v>
          </cell>
          <cell r="D203">
            <v>57.9</v>
          </cell>
          <cell r="E203">
            <v>2.39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7.2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4.2</v>
          </cell>
          <cell r="V203">
            <v>3</v>
          </cell>
          <cell r="W203">
            <v>7</v>
          </cell>
          <cell r="X203">
            <v>0</v>
          </cell>
          <cell r="Y203">
            <v>0</v>
          </cell>
          <cell r="Z203">
            <v>0</v>
          </cell>
        </row>
        <row r="204">
          <cell r="A204">
            <v>43203</v>
          </cell>
          <cell r="B204">
            <v>203</v>
          </cell>
          <cell r="C204">
            <v>48.5</v>
          </cell>
          <cell r="D204">
            <v>159.19999999999999</v>
          </cell>
          <cell r="E204">
            <v>3.28</v>
          </cell>
          <cell r="F204">
            <v>65.2</v>
          </cell>
          <cell r="G204">
            <v>0.4</v>
          </cell>
          <cell r="H204">
            <v>0.1</v>
          </cell>
          <cell r="I204">
            <v>64.599999999999994</v>
          </cell>
          <cell r="J204">
            <v>94.5</v>
          </cell>
          <cell r="K204">
            <v>0.1</v>
          </cell>
          <cell r="L204">
            <v>0.3</v>
          </cell>
          <cell r="M204">
            <v>0.1</v>
          </cell>
          <cell r="N204">
            <v>0.1</v>
          </cell>
          <cell r="O204">
            <v>63.6</v>
          </cell>
          <cell r="P204">
            <v>0.2</v>
          </cell>
          <cell r="Q204">
            <v>0.1</v>
          </cell>
          <cell r="R204">
            <v>0.7</v>
          </cell>
          <cell r="S204">
            <v>21.2</v>
          </cell>
          <cell r="T204">
            <v>0</v>
          </cell>
          <cell r="U204">
            <v>2.1</v>
          </cell>
          <cell r="V204">
            <v>6</v>
          </cell>
          <cell r="W204">
            <v>8</v>
          </cell>
          <cell r="X204">
            <v>0</v>
          </cell>
          <cell r="Y204">
            <v>0</v>
          </cell>
          <cell r="Z204">
            <v>0</v>
          </cell>
        </row>
        <row r="205">
          <cell r="A205">
            <v>43204</v>
          </cell>
          <cell r="B205">
            <v>204</v>
          </cell>
          <cell r="C205">
            <v>45.1</v>
          </cell>
          <cell r="D205">
            <v>107.4</v>
          </cell>
          <cell r="E205">
            <v>2.38</v>
          </cell>
          <cell r="F205">
            <v>87.4</v>
          </cell>
          <cell r="G205">
            <v>0.6</v>
          </cell>
          <cell r="H205">
            <v>0.2</v>
          </cell>
          <cell r="I205">
            <v>86.7</v>
          </cell>
          <cell r="J205">
            <v>117.4</v>
          </cell>
          <cell r="K205">
            <v>0.2</v>
          </cell>
          <cell r="L205">
            <v>0.4</v>
          </cell>
          <cell r="M205">
            <v>0.1</v>
          </cell>
          <cell r="N205">
            <v>0.1</v>
          </cell>
          <cell r="O205">
            <v>16.100000000000001</v>
          </cell>
          <cell r="P205">
            <v>0.2</v>
          </cell>
          <cell r="Q205">
            <v>0.1</v>
          </cell>
          <cell r="R205">
            <v>70.2</v>
          </cell>
          <cell r="S205">
            <v>21.2</v>
          </cell>
          <cell r="T205">
            <v>0</v>
          </cell>
          <cell r="U205">
            <v>3.1</v>
          </cell>
          <cell r="V205">
            <v>5.6</v>
          </cell>
          <cell r="W205">
            <v>6</v>
          </cell>
          <cell r="X205">
            <v>0</v>
          </cell>
          <cell r="Y205">
            <v>0</v>
          </cell>
          <cell r="Z205">
            <v>0</v>
          </cell>
        </row>
        <row r="206">
          <cell r="A206">
            <v>43205</v>
          </cell>
          <cell r="B206">
            <v>205</v>
          </cell>
          <cell r="C206">
            <v>10.1</v>
          </cell>
          <cell r="D206">
            <v>25</v>
          </cell>
          <cell r="E206">
            <v>2.4700000000000002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2.2999999999999998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1</v>
          </cell>
          <cell r="V206">
            <v>1.3</v>
          </cell>
          <cell r="W206">
            <v>2</v>
          </cell>
          <cell r="X206">
            <v>0</v>
          </cell>
          <cell r="Y206">
            <v>0</v>
          </cell>
          <cell r="Z206">
            <v>0</v>
          </cell>
        </row>
        <row r="207">
          <cell r="A207">
            <v>43206</v>
          </cell>
          <cell r="B207">
            <v>206</v>
          </cell>
          <cell r="C207">
            <v>18.2</v>
          </cell>
          <cell r="D207">
            <v>46</v>
          </cell>
          <cell r="E207">
            <v>2.5299999999999998</v>
          </cell>
          <cell r="F207">
            <v>13.1</v>
          </cell>
          <cell r="G207">
            <v>0.1</v>
          </cell>
          <cell r="H207">
            <v>12.7</v>
          </cell>
          <cell r="I207">
            <v>0.3</v>
          </cell>
          <cell r="J207">
            <v>16.399999999999999</v>
          </cell>
          <cell r="K207">
            <v>0</v>
          </cell>
          <cell r="L207">
            <v>0.1</v>
          </cell>
          <cell r="M207">
            <v>12.6</v>
          </cell>
          <cell r="N207">
            <v>0</v>
          </cell>
          <cell r="O207">
            <v>0.1</v>
          </cell>
          <cell r="P207">
            <v>0</v>
          </cell>
          <cell r="Q207">
            <v>0</v>
          </cell>
          <cell r="R207">
            <v>0.2</v>
          </cell>
          <cell r="S207">
            <v>0</v>
          </cell>
          <cell r="T207">
            <v>0</v>
          </cell>
          <cell r="U207">
            <v>1</v>
          </cell>
          <cell r="V207">
            <v>2.2999999999999998</v>
          </cell>
          <cell r="W207">
            <v>3</v>
          </cell>
          <cell r="X207">
            <v>0</v>
          </cell>
          <cell r="Y207">
            <v>0</v>
          </cell>
          <cell r="Z207">
            <v>0</v>
          </cell>
        </row>
        <row r="208">
          <cell r="A208">
            <v>43207</v>
          </cell>
          <cell r="B208">
            <v>207</v>
          </cell>
          <cell r="C208">
            <v>120</v>
          </cell>
          <cell r="D208">
            <v>255.4</v>
          </cell>
          <cell r="E208">
            <v>2.13</v>
          </cell>
          <cell r="F208">
            <v>66.3</v>
          </cell>
          <cell r="G208">
            <v>53.8</v>
          </cell>
          <cell r="H208">
            <v>3.3</v>
          </cell>
          <cell r="I208">
            <v>9.1999999999999993</v>
          </cell>
          <cell r="J208">
            <v>102</v>
          </cell>
          <cell r="K208">
            <v>0.7</v>
          </cell>
          <cell r="L208">
            <v>53.2</v>
          </cell>
          <cell r="M208">
            <v>0.2</v>
          </cell>
          <cell r="N208">
            <v>3</v>
          </cell>
          <cell r="O208">
            <v>4.5999999999999996</v>
          </cell>
          <cell r="P208">
            <v>0.8</v>
          </cell>
          <cell r="Q208">
            <v>0.4</v>
          </cell>
          <cell r="R208">
            <v>3.4</v>
          </cell>
          <cell r="S208">
            <v>0</v>
          </cell>
          <cell r="T208">
            <v>0</v>
          </cell>
          <cell r="U208">
            <v>20.8</v>
          </cell>
          <cell r="V208">
            <v>14.9</v>
          </cell>
          <cell r="W208">
            <v>0</v>
          </cell>
          <cell r="X208">
            <v>317</v>
          </cell>
          <cell r="Y208">
            <v>0</v>
          </cell>
          <cell r="Z208">
            <v>0</v>
          </cell>
        </row>
        <row r="209">
          <cell r="A209">
            <v>43208</v>
          </cell>
          <cell r="B209">
            <v>208</v>
          </cell>
          <cell r="C209">
            <v>49</v>
          </cell>
          <cell r="D209">
            <v>117.6</v>
          </cell>
          <cell r="E209">
            <v>2.4</v>
          </cell>
          <cell r="F209">
            <v>59.4</v>
          </cell>
          <cell r="G209">
            <v>0.5</v>
          </cell>
          <cell r="H209">
            <v>57.5</v>
          </cell>
          <cell r="I209">
            <v>1.4</v>
          </cell>
          <cell r="J209">
            <v>67.900000000000006</v>
          </cell>
          <cell r="K209">
            <v>0.2</v>
          </cell>
          <cell r="L209">
            <v>0.3</v>
          </cell>
          <cell r="M209">
            <v>0.1</v>
          </cell>
          <cell r="N209">
            <v>57.5</v>
          </cell>
          <cell r="O209">
            <v>0.3</v>
          </cell>
          <cell r="P209">
            <v>0.2</v>
          </cell>
          <cell r="Q209">
            <v>0.1</v>
          </cell>
          <cell r="R209">
            <v>0.8</v>
          </cell>
          <cell r="S209">
            <v>0.2</v>
          </cell>
          <cell r="T209">
            <v>0.1</v>
          </cell>
          <cell r="U209">
            <v>2.1</v>
          </cell>
          <cell r="V209">
            <v>6.1</v>
          </cell>
          <cell r="W209">
            <v>14</v>
          </cell>
          <cell r="X209">
            <v>0</v>
          </cell>
          <cell r="Y209">
            <v>0</v>
          </cell>
          <cell r="Z209">
            <v>0</v>
          </cell>
        </row>
        <row r="210">
          <cell r="A210">
            <v>43209</v>
          </cell>
          <cell r="B210">
            <v>209</v>
          </cell>
          <cell r="C210">
            <v>15.2</v>
          </cell>
          <cell r="D210">
            <v>41.6</v>
          </cell>
          <cell r="E210">
            <v>2.75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1.9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1.9</v>
          </cell>
          <cell r="W210">
            <v>4</v>
          </cell>
          <cell r="X210">
            <v>0</v>
          </cell>
          <cell r="Y210">
            <v>0</v>
          </cell>
          <cell r="Z210">
            <v>0</v>
          </cell>
        </row>
        <row r="211">
          <cell r="A211">
            <v>43210</v>
          </cell>
          <cell r="B211">
            <v>210</v>
          </cell>
          <cell r="C211">
            <v>8.1999999999999993</v>
          </cell>
          <cell r="D211">
            <v>22.9</v>
          </cell>
          <cell r="E211">
            <v>2.81</v>
          </cell>
          <cell r="F211">
            <v>10</v>
          </cell>
          <cell r="G211">
            <v>0.5</v>
          </cell>
          <cell r="H211">
            <v>0.2</v>
          </cell>
          <cell r="I211">
            <v>9.4</v>
          </cell>
          <cell r="J211">
            <v>11</v>
          </cell>
          <cell r="K211">
            <v>0.2</v>
          </cell>
          <cell r="L211">
            <v>0.3</v>
          </cell>
          <cell r="M211">
            <v>0.1</v>
          </cell>
          <cell r="N211">
            <v>0.1</v>
          </cell>
          <cell r="O211">
            <v>0.4</v>
          </cell>
          <cell r="P211">
            <v>7.9</v>
          </cell>
          <cell r="Q211">
            <v>0.1</v>
          </cell>
          <cell r="R211">
            <v>0.9</v>
          </cell>
          <cell r="S211">
            <v>0</v>
          </cell>
          <cell r="T211">
            <v>0</v>
          </cell>
          <cell r="U211">
            <v>0</v>
          </cell>
          <cell r="V211">
            <v>1</v>
          </cell>
          <cell r="W211">
            <v>1</v>
          </cell>
          <cell r="X211">
            <v>0</v>
          </cell>
          <cell r="Y211">
            <v>0</v>
          </cell>
          <cell r="Z211">
            <v>0</v>
          </cell>
        </row>
        <row r="212">
          <cell r="A212">
            <v>43211</v>
          </cell>
          <cell r="B212">
            <v>211</v>
          </cell>
          <cell r="C212">
            <v>48.6</v>
          </cell>
          <cell r="D212">
            <v>85.3</v>
          </cell>
          <cell r="E212">
            <v>1.75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28.3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21.2</v>
          </cell>
          <cell r="T212">
            <v>0</v>
          </cell>
          <cell r="U212">
            <v>1</v>
          </cell>
          <cell r="V212">
            <v>6</v>
          </cell>
          <cell r="W212">
            <v>19</v>
          </cell>
          <cell r="X212">
            <v>0</v>
          </cell>
          <cell r="Y212">
            <v>0</v>
          </cell>
          <cell r="Z212">
            <v>0</v>
          </cell>
        </row>
        <row r="213">
          <cell r="A213">
            <v>43212</v>
          </cell>
          <cell r="B213">
            <v>212</v>
          </cell>
          <cell r="C213">
            <v>8.8000000000000007</v>
          </cell>
          <cell r="D213">
            <v>23.7</v>
          </cell>
          <cell r="E213">
            <v>2.7</v>
          </cell>
          <cell r="F213">
            <v>6</v>
          </cell>
          <cell r="G213">
            <v>0.2</v>
          </cell>
          <cell r="H213">
            <v>0.1</v>
          </cell>
          <cell r="I213">
            <v>5.8</v>
          </cell>
          <cell r="J213">
            <v>7.1</v>
          </cell>
          <cell r="K213">
            <v>0.1</v>
          </cell>
          <cell r="L213">
            <v>0.1</v>
          </cell>
          <cell r="M213">
            <v>0</v>
          </cell>
          <cell r="N213">
            <v>0</v>
          </cell>
          <cell r="O213">
            <v>0.1</v>
          </cell>
          <cell r="P213">
            <v>5.3</v>
          </cell>
          <cell r="Q213">
            <v>0</v>
          </cell>
          <cell r="R213">
            <v>0.3</v>
          </cell>
          <cell r="S213">
            <v>0</v>
          </cell>
          <cell r="T213">
            <v>0</v>
          </cell>
          <cell r="U213">
            <v>0</v>
          </cell>
          <cell r="V213">
            <v>1.1000000000000001</v>
          </cell>
          <cell r="W213">
            <v>1</v>
          </cell>
          <cell r="X213">
            <v>0</v>
          </cell>
          <cell r="Y213">
            <v>0</v>
          </cell>
          <cell r="Z213">
            <v>0</v>
          </cell>
        </row>
        <row r="214">
          <cell r="A214">
            <v>43213</v>
          </cell>
          <cell r="B214">
            <v>213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2</v>
          </cell>
          <cell r="X214">
            <v>0</v>
          </cell>
          <cell r="Y214">
            <v>0</v>
          </cell>
          <cell r="Z214">
            <v>0</v>
          </cell>
        </row>
        <row r="215">
          <cell r="A215">
            <v>43214</v>
          </cell>
          <cell r="B215">
            <v>214</v>
          </cell>
          <cell r="C215">
            <v>13.9</v>
          </cell>
          <cell r="D215">
            <v>16.7</v>
          </cell>
          <cell r="E215">
            <v>1.2</v>
          </cell>
          <cell r="F215">
            <v>1.7</v>
          </cell>
          <cell r="G215">
            <v>0</v>
          </cell>
          <cell r="H215">
            <v>0</v>
          </cell>
          <cell r="I215">
            <v>1.7</v>
          </cell>
          <cell r="J215">
            <v>5.5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1.7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2.1</v>
          </cell>
          <cell r="V215">
            <v>1.7</v>
          </cell>
          <cell r="W215">
            <v>7</v>
          </cell>
          <cell r="X215">
            <v>0</v>
          </cell>
          <cell r="Y215">
            <v>0</v>
          </cell>
          <cell r="Z215">
            <v>0</v>
          </cell>
        </row>
        <row r="216">
          <cell r="A216">
            <v>43215</v>
          </cell>
          <cell r="B216">
            <v>215</v>
          </cell>
          <cell r="C216">
            <v>77.900000000000006</v>
          </cell>
          <cell r="D216">
            <v>129.19999999999999</v>
          </cell>
          <cell r="E216">
            <v>1.66</v>
          </cell>
          <cell r="F216">
            <v>2.8</v>
          </cell>
          <cell r="G216">
            <v>0</v>
          </cell>
          <cell r="H216">
            <v>1</v>
          </cell>
          <cell r="I216">
            <v>1.8</v>
          </cell>
          <cell r="J216">
            <v>22.9</v>
          </cell>
          <cell r="K216">
            <v>0</v>
          </cell>
          <cell r="L216">
            <v>0</v>
          </cell>
          <cell r="M216">
            <v>1</v>
          </cell>
          <cell r="N216">
            <v>0</v>
          </cell>
          <cell r="O216">
            <v>1.8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10.4</v>
          </cell>
          <cell r="V216">
            <v>9.6999999999999993</v>
          </cell>
          <cell r="W216">
            <v>0</v>
          </cell>
          <cell r="X216">
            <v>71</v>
          </cell>
          <cell r="Y216">
            <v>0</v>
          </cell>
          <cell r="Z216">
            <v>0</v>
          </cell>
        </row>
        <row r="217">
          <cell r="A217">
            <v>43216</v>
          </cell>
          <cell r="B217">
            <v>216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</row>
        <row r="218">
          <cell r="A218">
            <v>43217</v>
          </cell>
          <cell r="B218">
            <v>217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2</v>
          </cell>
          <cell r="X218">
            <v>0</v>
          </cell>
          <cell r="Y218">
            <v>0</v>
          </cell>
          <cell r="Z218">
            <v>0</v>
          </cell>
        </row>
        <row r="219">
          <cell r="A219">
            <v>43218</v>
          </cell>
          <cell r="B219">
            <v>218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1</v>
          </cell>
          <cell r="X219">
            <v>0</v>
          </cell>
          <cell r="Y219">
            <v>0</v>
          </cell>
          <cell r="Z219">
            <v>0</v>
          </cell>
        </row>
        <row r="220">
          <cell r="A220">
            <v>43219</v>
          </cell>
          <cell r="B220">
            <v>219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18.100000000000001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18.100000000000001</v>
          </cell>
          <cell r="U220">
            <v>0</v>
          </cell>
          <cell r="V220">
            <v>0</v>
          </cell>
          <cell r="W220">
            <v>8</v>
          </cell>
          <cell r="X220">
            <v>5</v>
          </cell>
          <cell r="Y220">
            <v>0</v>
          </cell>
          <cell r="Z220">
            <v>0</v>
          </cell>
        </row>
        <row r="221">
          <cell r="A221">
            <v>43220</v>
          </cell>
          <cell r="B221">
            <v>220</v>
          </cell>
          <cell r="C221">
            <v>2.1</v>
          </cell>
          <cell r="D221">
            <v>4.9000000000000004</v>
          </cell>
          <cell r="E221">
            <v>2.2999999999999998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1.3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1</v>
          </cell>
          <cell r="V221">
            <v>0.3</v>
          </cell>
          <cell r="W221">
            <v>10</v>
          </cell>
          <cell r="X221">
            <v>120</v>
          </cell>
          <cell r="Y221">
            <v>0</v>
          </cell>
          <cell r="Z221">
            <v>0</v>
          </cell>
        </row>
        <row r="222">
          <cell r="A222">
            <v>43221</v>
          </cell>
          <cell r="B222">
            <v>221</v>
          </cell>
          <cell r="C222">
            <v>20.2</v>
          </cell>
          <cell r="D222">
            <v>27</v>
          </cell>
          <cell r="E222">
            <v>1.34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10.8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8.3000000000000007</v>
          </cell>
          <cell r="V222">
            <v>2.5</v>
          </cell>
          <cell r="W222">
            <v>80</v>
          </cell>
          <cell r="X222">
            <v>604</v>
          </cell>
          <cell r="Y222">
            <v>0</v>
          </cell>
          <cell r="Z222">
            <v>0</v>
          </cell>
        </row>
        <row r="223">
          <cell r="A223">
            <v>43222</v>
          </cell>
          <cell r="B223">
            <v>222</v>
          </cell>
          <cell r="C223">
            <v>14.4</v>
          </cell>
          <cell r="D223">
            <v>49.6</v>
          </cell>
          <cell r="E223">
            <v>3.44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1.8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1.8</v>
          </cell>
          <cell r="W223">
            <v>0</v>
          </cell>
          <cell r="X223">
            <v>5</v>
          </cell>
          <cell r="Y223">
            <v>0</v>
          </cell>
          <cell r="Z223">
            <v>0</v>
          </cell>
        </row>
        <row r="224">
          <cell r="A224">
            <v>43223</v>
          </cell>
          <cell r="B224">
            <v>223</v>
          </cell>
          <cell r="C224">
            <v>4</v>
          </cell>
          <cell r="D224">
            <v>11.1</v>
          </cell>
          <cell r="E224">
            <v>2.81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0.5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0.5</v>
          </cell>
          <cell r="W224">
            <v>0</v>
          </cell>
          <cell r="X224">
            <v>5</v>
          </cell>
          <cell r="Y224">
            <v>0</v>
          </cell>
          <cell r="Z224">
            <v>0</v>
          </cell>
        </row>
        <row r="225">
          <cell r="A225">
            <v>43224</v>
          </cell>
          <cell r="B225">
            <v>224</v>
          </cell>
          <cell r="C225">
            <v>24.7</v>
          </cell>
          <cell r="D225">
            <v>50.8</v>
          </cell>
          <cell r="E225">
            <v>2.06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5.2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2.1</v>
          </cell>
          <cell r="V225">
            <v>3.1</v>
          </cell>
          <cell r="W225">
            <v>0</v>
          </cell>
          <cell r="X225">
            <v>399</v>
          </cell>
          <cell r="Y225">
            <v>0</v>
          </cell>
          <cell r="Z225">
            <v>0</v>
          </cell>
        </row>
        <row r="226">
          <cell r="A226">
            <v>43225</v>
          </cell>
          <cell r="B226">
            <v>225</v>
          </cell>
          <cell r="C226">
            <v>8.5</v>
          </cell>
          <cell r="D226">
            <v>12.3</v>
          </cell>
          <cell r="E226">
            <v>1.44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1.1000000000000001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1.1000000000000001</v>
          </cell>
          <cell r="W226">
            <v>0</v>
          </cell>
          <cell r="X226">
            <v>44</v>
          </cell>
          <cell r="Y226">
            <v>0</v>
          </cell>
          <cell r="Z226">
            <v>0</v>
          </cell>
        </row>
        <row r="227">
          <cell r="A227">
            <v>43226</v>
          </cell>
          <cell r="B227">
            <v>226</v>
          </cell>
          <cell r="C227">
            <v>34.1</v>
          </cell>
          <cell r="D227">
            <v>65.7</v>
          </cell>
          <cell r="E227">
            <v>1.93</v>
          </cell>
          <cell r="F227">
            <v>3.7</v>
          </cell>
          <cell r="G227">
            <v>0</v>
          </cell>
          <cell r="H227">
            <v>0</v>
          </cell>
          <cell r="I227">
            <v>3.6</v>
          </cell>
          <cell r="J227">
            <v>8.9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3.6</v>
          </cell>
          <cell r="S227">
            <v>0</v>
          </cell>
          <cell r="T227">
            <v>0</v>
          </cell>
          <cell r="U227">
            <v>1</v>
          </cell>
          <cell r="V227">
            <v>4.2</v>
          </cell>
          <cell r="W227">
            <v>0</v>
          </cell>
          <cell r="X227">
            <v>493</v>
          </cell>
          <cell r="Y227">
            <v>0</v>
          </cell>
          <cell r="Z227">
            <v>0</v>
          </cell>
        </row>
        <row r="228">
          <cell r="A228">
            <v>43227</v>
          </cell>
          <cell r="B228">
            <v>227</v>
          </cell>
          <cell r="C228">
            <v>6.7</v>
          </cell>
          <cell r="D228">
            <v>32</v>
          </cell>
          <cell r="E228">
            <v>4.74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0.8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0.8</v>
          </cell>
          <cell r="W228">
            <v>0</v>
          </cell>
          <cell r="X228">
            <v>88</v>
          </cell>
          <cell r="Y228">
            <v>0</v>
          </cell>
          <cell r="Z228">
            <v>0</v>
          </cell>
        </row>
        <row r="229">
          <cell r="A229">
            <v>43228</v>
          </cell>
          <cell r="B229">
            <v>228</v>
          </cell>
          <cell r="C229">
            <v>6.3</v>
          </cell>
          <cell r="D229">
            <v>17.899999999999999</v>
          </cell>
          <cell r="E229">
            <v>2.82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6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5.2</v>
          </cell>
          <cell r="V229">
            <v>0.8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</row>
        <row r="230">
          <cell r="A230">
            <v>43229</v>
          </cell>
          <cell r="B230">
            <v>229</v>
          </cell>
          <cell r="C230">
            <v>33.700000000000003</v>
          </cell>
          <cell r="D230">
            <v>86.7</v>
          </cell>
          <cell r="E230">
            <v>2.57</v>
          </cell>
          <cell r="F230">
            <v>3.3</v>
          </cell>
          <cell r="G230">
            <v>0</v>
          </cell>
          <cell r="H230">
            <v>3.2</v>
          </cell>
          <cell r="I230">
            <v>0.1</v>
          </cell>
          <cell r="J230">
            <v>8.5</v>
          </cell>
          <cell r="K230">
            <v>0</v>
          </cell>
          <cell r="L230">
            <v>0</v>
          </cell>
          <cell r="M230">
            <v>3.2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0.1</v>
          </cell>
          <cell r="S230">
            <v>0</v>
          </cell>
          <cell r="T230">
            <v>0</v>
          </cell>
          <cell r="U230">
            <v>1</v>
          </cell>
          <cell r="V230">
            <v>4.2</v>
          </cell>
          <cell r="W230">
            <v>25</v>
          </cell>
          <cell r="X230">
            <v>0</v>
          </cell>
          <cell r="Y230">
            <v>0</v>
          </cell>
          <cell r="Z230">
            <v>0</v>
          </cell>
        </row>
        <row r="231">
          <cell r="A231">
            <v>43230</v>
          </cell>
          <cell r="B231">
            <v>230</v>
          </cell>
          <cell r="C231">
            <v>65.099999999999994</v>
          </cell>
          <cell r="D231">
            <v>128.69999999999999</v>
          </cell>
          <cell r="E231">
            <v>1.98</v>
          </cell>
          <cell r="F231">
            <v>14.1</v>
          </cell>
          <cell r="G231">
            <v>0.1</v>
          </cell>
          <cell r="H231">
            <v>0</v>
          </cell>
          <cell r="I231">
            <v>14</v>
          </cell>
          <cell r="J231">
            <v>23.2</v>
          </cell>
          <cell r="K231">
            <v>0</v>
          </cell>
          <cell r="L231">
            <v>0.1</v>
          </cell>
          <cell r="M231">
            <v>0</v>
          </cell>
          <cell r="N231">
            <v>0</v>
          </cell>
          <cell r="O231">
            <v>0.1</v>
          </cell>
          <cell r="P231">
            <v>6.5</v>
          </cell>
          <cell r="Q231">
            <v>0</v>
          </cell>
          <cell r="R231">
            <v>7.4</v>
          </cell>
          <cell r="S231">
            <v>0</v>
          </cell>
          <cell r="T231">
            <v>0</v>
          </cell>
          <cell r="U231">
            <v>1</v>
          </cell>
          <cell r="V231">
            <v>8.1</v>
          </cell>
          <cell r="W231">
            <v>99</v>
          </cell>
          <cell r="X231">
            <v>0</v>
          </cell>
          <cell r="Y231">
            <v>0</v>
          </cell>
          <cell r="Z231">
            <v>0</v>
          </cell>
        </row>
        <row r="232">
          <cell r="A232">
            <v>43231</v>
          </cell>
          <cell r="B232">
            <v>231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</row>
        <row r="233">
          <cell r="A233">
            <v>43232</v>
          </cell>
          <cell r="B233">
            <v>232</v>
          </cell>
          <cell r="C233">
            <v>26.9</v>
          </cell>
          <cell r="D233">
            <v>37.4</v>
          </cell>
          <cell r="E233">
            <v>1.39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6.4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3.1</v>
          </cell>
          <cell r="V233">
            <v>3.3</v>
          </cell>
          <cell r="W233">
            <v>0</v>
          </cell>
          <cell r="X233">
            <v>72</v>
          </cell>
          <cell r="Y233">
            <v>0</v>
          </cell>
          <cell r="Z233">
            <v>0</v>
          </cell>
        </row>
        <row r="234">
          <cell r="A234">
            <v>43233</v>
          </cell>
          <cell r="B234">
            <v>233</v>
          </cell>
          <cell r="C234">
            <v>0</v>
          </cell>
          <cell r="D234">
            <v>0</v>
          </cell>
          <cell r="E234">
            <v>0</v>
          </cell>
          <cell r="F234">
            <v>81.900000000000006</v>
          </cell>
          <cell r="G234">
            <v>14</v>
          </cell>
          <cell r="H234">
            <v>3.5</v>
          </cell>
          <cell r="I234">
            <v>64.5</v>
          </cell>
          <cell r="J234">
            <v>84</v>
          </cell>
          <cell r="K234">
            <v>6.7</v>
          </cell>
          <cell r="L234">
            <v>7.2</v>
          </cell>
          <cell r="M234">
            <v>1.4</v>
          </cell>
          <cell r="N234">
            <v>2</v>
          </cell>
          <cell r="O234">
            <v>9.4</v>
          </cell>
          <cell r="P234">
            <v>4.5999999999999996</v>
          </cell>
          <cell r="Q234">
            <v>2.7</v>
          </cell>
          <cell r="R234">
            <v>47.7</v>
          </cell>
          <cell r="S234">
            <v>0</v>
          </cell>
          <cell r="T234">
            <v>0</v>
          </cell>
          <cell r="U234">
            <v>2.1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</row>
        <row r="235">
          <cell r="A235">
            <v>43234</v>
          </cell>
          <cell r="B235">
            <v>234</v>
          </cell>
          <cell r="C235">
            <v>0</v>
          </cell>
          <cell r="D235">
            <v>0</v>
          </cell>
          <cell r="E235">
            <v>0</v>
          </cell>
          <cell r="F235">
            <v>17.899999999999999</v>
          </cell>
          <cell r="G235">
            <v>1.6</v>
          </cell>
          <cell r="H235">
            <v>0.5</v>
          </cell>
          <cell r="I235">
            <v>15.8</v>
          </cell>
          <cell r="J235">
            <v>17.899999999999999</v>
          </cell>
          <cell r="K235">
            <v>0.6</v>
          </cell>
          <cell r="L235">
            <v>1</v>
          </cell>
          <cell r="M235">
            <v>0.2</v>
          </cell>
          <cell r="N235">
            <v>0.3</v>
          </cell>
          <cell r="O235">
            <v>1.1000000000000001</v>
          </cell>
          <cell r="P235">
            <v>0.6</v>
          </cell>
          <cell r="Q235">
            <v>0.4</v>
          </cell>
          <cell r="R235">
            <v>13.7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</row>
        <row r="236">
          <cell r="A236">
            <v>43235</v>
          </cell>
          <cell r="B236">
            <v>235</v>
          </cell>
          <cell r="C236">
            <v>38.5</v>
          </cell>
          <cell r="D236">
            <v>93.4</v>
          </cell>
          <cell r="E236">
            <v>2.42</v>
          </cell>
          <cell r="F236">
            <v>51.4</v>
          </cell>
          <cell r="G236">
            <v>25.2</v>
          </cell>
          <cell r="H236">
            <v>2.2999999999999998</v>
          </cell>
          <cell r="I236">
            <v>23.9</v>
          </cell>
          <cell r="J236">
            <v>65.599999999999994</v>
          </cell>
          <cell r="K236">
            <v>20.399999999999999</v>
          </cell>
          <cell r="L236">
            <v>4.8</v>
          </cell>
          <cell r="M236">
            <v>1</v>
          </cell>
          <cell r="N236">
            <v>1.3</v>
          </cell>
          <cell r="O236">
            <v>5.3</v>
          </cell>
          <cell r="P236">
            <v>3.1</v>
          </cell>
          <cell r="Q236">
            <v>1.8</v>
          </cell>
          <cell r="R236">
            <v>13.8</v>
          </cell>
          <cell r="S236">
            <v>0</v>
          </cell>
          <cell r="T236">
            <v>0</v>
          </cell>
          <cell r="U236">
            <v>9.4</v>
          </cell>
          <cell r="V236">
            <v>4.8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</row>
        <row r="237">
          <cell r="A237">
            <v>43236</v>
          </cell>
          <cell r="B237">
            <v>236</v>
          </cell>
          <cell r="C237">
            <v>3</v>
          </cell>
          <cell r="D237">
            <v>7.1</v>
          </cell>
          <cell r="E237">
            <v>2.41</v>
          </cell>
          <cell r="F237">
            <v>314.2</v>
          </cell>
          <cell r="G237">
            <v>26.7</v>
          </cell>
          <cell r="H237">
            <v>233.3</v>
          </cell>
          <cell r="I237">
            <v>54.2</v>
          </cell>
          <cell r="J237">
            <v>328.1</v>
          </cell>
          <cell r="K237">
            <v>22.2</v>
          </cell>
          <cell r="L237">
            <v>4.5999999999999996</v>
          </cell>
          <cell r="M237">
            <v>232</v>
          </cell>
          <cell r="N237">
            <v>1.3</v>
          </cell>
          <cell r="O237">
            <v>36.4</v>
          </cell>
          <cell r="P237">
            <v>3</v>
          </cell>
          <cell r="Q237">
            <v>1.7</v>
          </cell>
          <cell r="R237">
            <v>13.1</v>
          </cell>
          <cell r="S237">
            <v>0</v>
          </cell>
          <cell r="T237">
            <v>0</v>
          </cell>
          <cell r="U237">
            <v>13.5</v>
          </cell>
          <cell r="V237">
            <v>0.4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</row>
        <row r="238">
          <cell r="A238">
            <v>43237</v>
          </cell>
          <cell r="B238">
            <v>237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</row>
        <row r="239">
          <cell r="A239">
            <v>43238</v>
          </cell>
          <cell r="B239">
            <v>238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</row>
        <row r="240">
          <cell r="A240">
            <v>43239</v>
          </cell>
          <cell r="B240">
            <v>239</v>
          </cell>
          <cell r="C240">
            <v>64</v>
          </cell>
          <cell r="D240">
            <v>155.19999999999999</v>
          </cell>
          <cell r="E240">
            <v>2.42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82.9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74.900000000000006</v>
          </cell>
          <cell r="V240">
            <v>8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</row>
        <row r="241">
          <cell r="A241">
            <v>43240</v>
          </cell>
          <cell r="B241">
            <v>240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</row>
        <row r="242">
          <cell r="A242">
            <v>43241</v>
          </cell>
          <cell r="B242">
            <v>241</v>
          </cell>
          <cell r="C242">
            <v>75.099999999999994</v>
          </cell>
          <cell r="D242">
            <v>182</v>
          </cell>
          <cell r="E242">
            <v>2.42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27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17.7</v>
          </cell>
          <cell r="V242">
            <v>9.3000000000000007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</row>
        <row r="243">
          <cell r="A243">
            <v>43242</v>
          </cell>
          <cell r="B243">
            <v>242</v>
          </cell>
          <cell r="C243">
            <v>179.7</v>
          </cell>
          <cell r="D243">
            <v>435.6</v>
          </cell>
          <cell r="E243">
            <v>2.42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76.400000000000006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54.1</v>
          </cell>
          <cell r="V243">
            <v>22.3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</row>
        <row r="244">
          <cell r="A244">
            <v>43243</v>
          </cell>
          <cell r="B244">
            <v>243</v>
          </cell>
          <cell r="C244">
            <v>96.4</v>
          </cell>
          <cell r="D244">
            <v>172.2</v>
          </cell>
          <cell r="E244">
            <v>1.79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28.6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16.600000000000001</v>
          </cell>
          <cell r="V244">
            <v>12</v>
          </cell>
          <cell r="W244">
            <v>47</v>
          </cell>
          <cell r="X244">
            <v>0</v>
          </cell>
          <cell r="Y244">
            <v>0</v>
          </cell>
          <cell r="Z244">
            <v>0</v>
          </cell>
        </row>
        <row r="245">
          <cell r="A245">
            <v>43244</v>
          </cell>
          <cell r="B245">
            <v>244</v>
          </cell>
          <cell r="C245">
            <v>16.100000000000001</v>
          </cell>
          <cell r="D245">
            <v>39</v>
          </cell>
          <cell r="E245">
            <v>2.42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5.0999999999999996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3.1</v>
          </cell>
          <cell r="V245">
            <v>2</v>
          </cell>
          <cell r="W245">
            <v>9</v>
          </cell>
          <cell r="X245">
            <v>0</v>
          </cell>
          <cell r="Y245">
            <v>0</v>
          </cell>
          <cell r="Z245">
            <v>0</v>
          </cell>
        </row>
        <row r="246">
          <cell r="A246">
            <v>43245</v>
          </cell>
          <cell r="B246">
            <v>245</v>
          </cell>
          <cell r="C246">
            <v>81.5</v>
          </cell>
          <cell r="D246">
            <v>197.7</v>
          </cell>
          <cell r="E246">
            <v>2.42</v>
          </cell>
          <cell r="F246">
            <v>24.6</v>
          </cell>
          <cell r="G246">
            <v>5.4</v>
          </cell>
          <cell r="H246">
            <v>1.7</v>
          </cell>
          <cell r="I246">
            <v>17.600000000000001</v>
          </cell>
          <cell r="J246">
            <v>59.7</v>
          </cell>
          <cell r="K246">
            <v>1.8</v>
          </cell>
          <cell r="L246">
            <v>3.6</v>
          </cell>
          <cell r="M246">
            <v>0.7</v>
          </cell>
          <cell r="N246">
            <v>1</v>
          </cell>
          <cell r="O246">
            <v>4</v>
          </cell>
          <cell r="P246">
            <v>2.2000000000000002</v>
          </cell>
          <cell r="Q246">
            <v>1.3</v>
          </cell>
          <cell r="R246">
            <v>10.1</v>
          </cell>
          <cell r="S246">
            <v>0</v>
          </cell>
          <cell r="T246">
            <v>0</v>
          </cell>
          <cell r="U246">
            <v>25</v>
          </cell>
          <cell r="V246">
            <v>10.1</v>
          </cell>
          <cell r="W246">
            <v>51</v>
          </cell>
          <cell r="X246">
            <v>0</v>
          </cell>
          <cell r="Y246">
            <v>0</v>
          </cell>
          <cell r="Z246">
            <v>0</v>
          </cell>
        </row>
        <row r="247">
          <cell r="A247">
            <v>43246</v>
          </cell>
          <cell r="B247">
            <v>246</v>
          </cell>
          <cell r="C247">
            <v>80</v>
          </cell>
          <cell r="D247">
            <v>157.80000000000001</v>
          </cell>
          <cell r="E247">
            <v>1.97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44.5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34.1</v>
          </cell>
          <cell r="V247">
            <v>10.4</v>
          </cell>
          <cell r="W247">
            <v>52</v>
          </cell>
          <cell r="X247">
            <v>0</v>
          </cell>
          <cell r="Y247">
            <v>0</v>
          </cell>
          <cell r="Z247">
            <v>0</v>
          </cell>
        </row>
        <row r="248">
          <cell r="A248">
            <v>43247</v>
          </cell>
          <cell r="B248">
            <v>247</v>
          </cell>
          <cell r="C248">
            <v>162.9</v>
          </cell>
          <cell r="D248">
            <v>292.7</v>
          </cell>
          <cell r="E248">
            <v>1.8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40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19.8</v>
          </cell>
          <cell r="V248">
            <v>20.2</v>
          </cell>
          <cell r="W248">
            <v>0</v>
          </cell>
          <cell r="X248">
            <v>0</v>
          </cell>
          <cell r="Y248">
            <v>64</v>
          </cell>
          <cell r="Z248">
            <v>0</v>
          </cell>
        </row>
        <row r="249">
          <cell r="A249">
            <v>43248</v>
          </cell>
          <cell r="B249">
            <v>248</v>
          </cell>
          <cell r="C249">
            <v>105</v>
          </cell>
          <cell r="D249">
            <v>188.6</v>
          </cell>
          <cell r="E249">
            <v>1.8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32.799999999999997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19.8</v>
          </cell>
          <cell r="V249">
            <v>13</v>
          </cell>
          <cell r="W249">
            <v>0</v>
          </cell>
          <cell r="X249">
            <v>0</v>
          </cell>
          <cell r="Y249">
            <v>38</v>
          </cell>
          <cell r="Z249">
            <v>0</v>
          </cell>
        </row>
        <row r="250">
          <cell r="A250">
            <v>43249</v>
          </cell>
          <cell r="B250">
            <v>249</v>
          </cell>
          <cell r="C250">
            <v>41.8</v>
          </cell>
          <cell r="D250">
            <v>75.2</v>
          </cell>
          <cell r="E250">
            <v>1.8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12.5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7.3</v>
          </cell>
          <cell r="V250">
            <v>5.2</v>
          </cell>
          <cell r="W250">
            <v>31</v>
          </cell>
          <cell r="X250">
            <v>0</v>
          </cell>
          <cell r="Y250">
            <v>0</v>
          </cell>
          <cell r="Z250">
            <v>0</v>
          </cell>
        </row>
        <row r="251">
          <cell r="A251">
            <v>43250</v>
          </cell>
          <cell r="B251">
            <v>250</v>
          </cell>
          <cell r="C251">
            <v>83.7</v>
          </cell>
          <cell r="D251">
            <v>202.9</v>
          </cell>
          <cell r="E251">
            <v>2.42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67.599999999999994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57.2</v>
          </cell>
          <cell r="V251">
            <v>10.4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</row>
        <row r="252">
          <cell r="A252">
            <v>43251</v>
          </cell>
          <cell r="B252">
            <v>251</v>
          </cell>
          <cell r="C252">
            <v>1.3</v>
          </cell>
          <cell r="D252">
            <v>3</v>
          </cell>
          <cell r="E252">
            <v>2.41</v>
          </cell>
          <cell r="F252">
            <v>1</v>
          </cell>
          <cell r="G252">
            <v>0.2</v>
          </cell>
          <cell r="H252">
            <v>0.1</v>
          </cell>
          <cell r="I252">
            <v>0.7</v>
          </cell>
          <cell r="J252">
            <v>2.2000000000000002</v>
          </cell>
          <cell r="K252">
            <v>0.1</v>
          </cell>
          <cell r="L252">
            <v>0.1</v>
          </cell>
          <cell r="M252">
            <v>0</v>
          </cell>
          <cell r="N252">
            <v>0</v>
          </cell>
          <cell r="O252">
            <v>0.2</v>
          </cell>
          <cell r="P252">
            <v>0.1</v>
          </cell>
          <cell r="Q252">
            <v>0.1</v>
          </cell>
          <cell r="R252">
            <v>0.4</v>
          </cell>
          <cell r="S252">
            <v>0</v>
          </cell>
          <cell r="T252">
            <v>0</v>
          </cell>
          <cell r="U252">
            <v>1</v>
          </cell>
          <cell r="V252">
            <v>0.2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</row>
        <row r="253">
          <cell r="A253">
            <v>43252</v>
          </cell>
          <cell r="B253">
            <v>252</v>
          </cell>
          <cell r="C253">
            <v>0</v>
          </cell>
          <cell r="D253">
            <v>0</v>
          </cell>
          <cell r="E253">
            <v>0</v>
          </cell>
          <cell r="F253">
            <v>146.5</v>
          </cell>
          <cell r="G253">
            <v>138.19999999999999</v>
          </cell>
          <cell r="H253">
            <v>0.7</v>
          </cell>
          <cell r="I253">
            <v>7.6</v>
          </cell>
          <cell r="J253">
            <v>146.5</v>
          </cell>
          <cell r="K253">
            <v>136.6</v>
          </cell>
          <cell r="L253">
            <v>1.5</v>
          </cell>
          <cell r="M253">
            <v>0.3</v>
          </cell>
          <cell r="N253">
            <v>0.4</v>
          </cell>
          <cell r="O253">
            <v>1.7</v>
          </cell>
          <cell r="P253">
            <v>1</v>
          </cell>
          <cell r="Q253">
            <v>0.6</v>
          </cell>
          <cell r="R253">
            <v>4.4000000000000004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</row>
        <row r="254">
          <cell r="A254">
            <v>43253</v>
          </cell>
          <cell r="B254">
            <v>253</v>
          </cell>
          <cell r="C254">
            <v>12.1</v>
          </cell>
          <cell r="D254">
            <v>29.1</v>
          </cell>
          <cell r="E254">
            <v>2.41</v>
          </cell>
          <cell r="F254">
            <v>128.30000000000001</v>
          </cell>
          <cell r="G254">
            <v>27.9</v>
          </cell>
          <cell r="H254">
            <v>8.6999999999999993</v>
          </cell>
          <cell r="I254">
            <v>91.7</v>
          </cell>
          <cell r="J254">
            <v>155.80000000000001</v>
          </cell>
          <cell r="K254">
            <v>9.3000000000000007</v>
          </cell>
          <cell r="L254">
            <v>18.600000000000001</v>
          </cell>
          <cell r="M254">
            <v>3.6</v>
          </cell>
          <cell r="N254">
            <v>5.2</v>
          </cell>
          <cell r="O254">
            <v>20.7</v>
          </cell>
          <cell r="P254">
            <v>11.5</v>
          </cell>
          <cell r="Q254">
            <v>6.8</v>
          </cell>
          <cell r="R254">
            <v>52.7</v>
          </cell>
          <cell r="S254">
            <v>0</v>
          </cell>
          <cell r="T254">
            <v>0</v>
          </cell>
          <cell r="U254">
            <v>26</v>
          </cell>
          <cell r="V254">
            <v>1.5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</row>
        <row r="255">
          <cell r="A255">
            <v>43254</v>
          </cell>
          <cell r="B255">
            <v>254</v>
          </cell>
          <cell r="C255">
            <v>0</v>
          </cell>
          <cell r="D255">
            <v>0</v>
          </cell>
          <cell r="E255">
            <v>0</v>
          </cell>
          <cell r="F255">
            <v>221.6</v>
          </cell>
          <cell r="G255">
            <v>13.5</v>
          </cell>
          <cell r="H255">
            <v>23.6</v>
          </cell>
          <cell r="I255">
            <v>184.5</v>
          </cell>
          <cell r="J255">
            <v>223.7</v>
          </cell>
          <cell r="K255">
            <v>4.9000000000000004</v>
          </cell>
          <cell r="L255">
            <v>8.6999999999999993</v>
          </cell>
          <cell r="M255">
            <v>1.7</v>
          </cell>
          <cell r="N255">
            <v>21.8</v>
          </cell>
          <cell r="O255">
            <v>9.5</v>
          </cell>
          <cell r="P255">
            <v>147</v>
          </cell>
          <cell r="Q255">
            <v>3.2</v>
          </cell>
          <cell r="R255">
            <v>24.8</v>
          </cell>
          <cell r="S255">
            <v>0</v>
          </cell>
          <cell r="T255">
            <v>0</v>
          </cell>
          <cell r="U255">
            <v>2.1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</row>
        <row r="256">
          <cell r="A256">
            <v>43255</v>
          </cell>
          <cell r="B256">
            <v>255</v>
          </cell>
          <cell r="C256">
            <v>0</v>
          </cell>
          <cell r="D256">
            <v>0</v>
          </cell>
          <cell r="E256">
            <v>0</v>
          </cell>
          <cell r="F256">
            <v>125.5</v>
          </cell>
          <cell r="G256">
            <v>0.9</v>
          </cell>
          <cell r="H256">
            <v>0.3</v>
          </cell>
          <cell r="I256">
            <v>124.3</v>
          </cell>
          <cell r="J256">
            <v>125.5</v>
          </cell>
          <cell r="K256">
            <v>0.3</v>
          </cell>
          <cell r="L256">
            <v>0.6</v>
          </cell>
          <cell r="M256">
            <v>0.1</v>
          </cell>
          <cell r="N256">
            <v>0.2</v>
          </cell>
          <cell r="O256">
            <v>0.6</v>
          </cell>
          <cell r="P256">
            <v>0.4</v>
          </cell>
          <cell r="Q256">
            <v>0.2</v>
          </cell>
          <cell r="R256">
            <v>123.1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</row>
        <row r="257">
          <cell r="A257">
            <v>43256</v>
          </cell>
          <cell r="B257">
            <v>256</v>
          </cell>
          <cell r="C257">
            <v>0</v>
          </cell>
          <cell r="D257">
            <v>0</v>
          </cell>
          <cell r="E257">
            <v>0</v>
          </cell>
          <cell r="F257">
            <v>76.3</v>
          </cell>
          <cell r="G257">
            <v>2.6</v>
          </cell>
          <cell r="H257">
            <v>0.8</v>
          </cell>
          <cell r="I257">
            <v>72.900000000000006</v>
          </cell>
          <cell r="J257">
            <v>76.3</v>
          </cell>
          <cell r="K257">
            <v>0.9</v>
          </cell>
          <cell r="L257">
            <v>1.6</v>
          </cell>
          <cell r="M257">
            <v>0.3</v>
          </cell>
          <cell r="N257">
            <v>0.5</v>
          </cell>
          <cell r="O257">
            <v>1.8</v>
          </cell>
          <cell r="P257">
            <v>65.8</v>
          </cell>
          <cell r="Q257">
            <v>0.6</v>
          </cell>
          <cell r="R257">
            <v>4.7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</row>
        <row r="258">
          <cell r="A258">
            <v>43257</v>
          </cell>
          <cell r="B258">
            <v>257</v>
          </cell>
          <cell r="C258">
            <v>16.3</v>
          </cell>
          <cell r="D258">
            <v>39.299999999999997</v>
          </cell>
          <cell r="E258">
            <v>2.41</v>
          </cell>
          <cell r="F258">
            <v>55</v>
          </cell>
          <cell r="G258">
            <v>11.9</v>
          </cell>
          <cell r="H258">
            <v>3.7</v>
          </cell>
          <cell r="I258">
            <v>39.299999999999997</v>
          </cell>
          <cell r="J258">
            <v>95.5</v>
          </cell>
          <cell r="K258">
            <v>4</v>
          </cell>
          <cell r="L258">
            <v>8</v>
          </cell>
          <cell r="M258">
            <v>1.5</v>
          </cell>
          <cell r="N258">
            <v>2.2000000000000002</v>
          </cell>
          <cell r="O258">
            <v>8.9</v>
          </cell>
          <cell r="P258">
            <v>4.9000000000000004</v>
          </cell>
          <cell r="Q258">
            <v>2.9</v>
          </cell>
          <cell r="R258">
            <v>22.6</v>
          </cell>
          <cell r="S258">
            <v>0</v>
          </cell>
          <cell r="T258">
            <v>0</v>
          </cell>
          <cell r="U258">
            <v>38.5</v>
          </cell>
          <cell r="V258">
            <v>2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</row>
        <row r="259">
          <cell r="A259">
            <v>43258</v>
          </cell>
          <cell r="B259">
            <v>258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</row>
        <row r="260">
          <cell r="A260">
            <v>43259</v>
          </cell>
          <cell r="B260">
            <v>259</v>
          </cell>
          <cell r="C260">
            <v>26</v>
          </cell>
          <cell r="D260">
            <v>63.1</v>
          </cell>
          <cell r="E260">
            <v>2.4300000000000002</v>
          </cell>
          <cell r="F260">
            <v>367.1</v>
          </cell>
          <cell r="G260">
            <v>50.8</v>
          </cell>
          <cell r="H260">
            <v>22.6</v>
          </cell>
          <cell r="I260">
            <v>293.7</v>
          </cell>
          <cell r="J260">
            <v>381.7</v>
          </cell>
          <cell r="K260">
            <v>21.7</v>
          </cell>
          <cell r="L260">
            <v>29.1</v>
          </cell>
          <cell r="M260">
            <v>5.8</v>
          </cell>
          <cell r="N260">
            <v>16.8</v>
          </cell>
          <cell r="O260">
            <v>31.8</v>
          </cell>
          <cell r="P260">
            <v>18.600000000000001</v>
          </cell>
          <cell r="Q260">
            <v>10.8</v>
          </cell>
          <cell r="R260">
            <v>232.5</v>
          </cell>
          <cell r="S260">
            <v>0</v>
          </cell>
          <cell r="T260">
            <v>0</v>
          </cell>
          <cell r="U260">
            <v>11.4</v>
          </cell>
          <cell r="V260">
            <v>3.2</v>
          </cell>
          <cell r="W260">
            <v>0</v>
          </cell>
          <cell r="X260">
            <v>0</v>
          </cell>
          <cell r="Y260">
            <v>22</v>
          </cell>
          <cell r="Z260">
            <v>0</v>
          </cell>
        </row>
        <row r="261">
          <cell r="A261">
            <v>43260</v>
          </cell>
          <cell r="B261">
            <v>260</v>
          </cell>
          <cell r="C261">
            <v>1.4</v>
          </cell>
          <cell r="D261">
            <v>3.2</v>
          </cell>
          <cell r="E261">
            <v>2.41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2.2999999999999998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2.1</v>
          </cell>
          <cell r="V261">
            <v>0.2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</row>
        <row r="262">
          <cell r="A262">
            <v>43261</v>
          </cell>
          <cell r="B262">
            <v>261</v>
          </cell>
          <cell r="C262">
            <v>330</v>
          </cell>
          <cell r="D262">
            <v>469.4</v>
          </cell>
          <cell r="E262">
            <v>1.42</v>
          </cell>
          <cell r="F262">
            <v>35.4</v>
          </cell>
          <cell r="G262">
            <v>0.2</v>
          </cell>
          <cell r="H262">
            <v>0.1</v>
          </cell>
          <cell r="I262">
            <v>35.1</v>
          </cell>
          <cell r="J262">
            <v>76.400000000000006</v>
          </cell>
          <cell r="K262">
            <v>0.1</v>
          </cell>
          <cell r="L262">
            <v>0.1</v>
          </cell>
          <cell r="M262">
            <v>0</v>
          </cell>
          <cell r="N262">
            <v>0</v>
          </cell>
          <cell r="O262">
            <v>0.2</v>
          </cell>
          <cell r="P262">
            <v>0.9</v>
          </cell>
          <cell r="Q262">
            <v>0.8</v>
          </cell>
          <cell r="R262">
            <v>33.200000000000003</v>
          </cell>
          <cell r="S262">
            <v>0</v>
          </cell>
          <cell r="T262">
            <v>0</v>
          </cell>
          <cell r="U262">
            <v>0</v>
          </cell>
          <cell r="V262">
            <v>41</v>
          </cell>
          <cell r="W262">
            <v>16</v>
          </cell>
          <cell r="X262">
            <v>0</v>
          </cell>
          <cell r="Y262">
            <v>0</v>
          </cell>
          <cell r="Z262">
            <v>0</v>
          </cell>
        </row>
        <row r="263">
          <cell r="A263">
            <v>43262</v>
          </cell>
          <cell r="B263">
            <v>262</v>
          </cell>
          <cell r="C263">
            <v>0</v>
          </cell>
          <cell r="D263">
            <v>0</v>
          </cell>
          <cell r="E263">
            <v>0</v>
          </cell>
          <cell r="F263">
            <v>176.2</v>
          </cell>
          <cell r="G263">
            <v>11.4</v>
          </cell>
          <cell r="H263">
            <v>3.5</v>
          </cell>
          <cell r="I263">
            <v>161.30000000000001</v>
          </cell>
          <cell r="J263">
            <v>177.3</v>
          </cell>
          <cell r="K263">
            <v>4.0999999999999996</v>
          </cell>
          <cell r="L263">
            <v>7.3</v>
          </cell>
          <cell r="M263">
            <v>1.5</v>
          </cell>
          <cell r="N263">
            <v>2</v>
          </cell>
          <cell r="O263">
            <v>13.5</v>
          </cell>
          <cell r="P263">
            <v>124.2</v>
          </cell>
          <cell r="Q263">
            <v>2.7</v>
          </cell>
          <cell r="R263">
            <v>20.9</v>
          </cell>
          <cell r="S263">
            <v>0</v>
          </cell>
          <cell r="T263">
            <v>0</v>
          </cell>
          <cell r="U263">
            <v>1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</row>
        <row r="264">
          <cell r="A264">
            <v>43263</v>
          </cell>
          <cell r="B264">
            <v>263</v>
          </cell>
          <cell r="C264">
            <v>1.4</v>
          </cell>
          <cell r="D264">
            <v>3.2</v>
          </cell>
          <cell r="E264">
            <v>2.41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2.2999999999999998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2.1</v>
          </cell>
          <cell r="V264">
            <v>0.2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</row>
        <row r="265">
          <cell r="A265">
            <v>43264</v>
          </cell>
          <cell r="B265">
            <v>264</v>
          </cell>
          <cell r="C265">
            <v>52.3</v>
          </cell>
          <cell r="D265">
            <v>95.6</v>
          </cell>
          <cell r="E265">
            <v>1.83</v>
          </cell>
          <cell r="F265">
            <v>82.2</v>
          </cell>
          <cell r="G265">
            <v>1.2</v>
          </cell>
          <cell r="H265">
            <v>0.4</v>
          </cell>
          <cell r="I265">
            <v>80.7</v>
          </cell>
          <cell r="J265">
            <v>96</v>
          </cell>
          <cell r="K265">
            <v>0.4</v>
          </cell>
          <cell r="L265">
            <v>0.8</v>
          </cell>
          <cell r="M265">
            <v>0.2</v>
          </cell>
          <cell r="N265">
            <v>0.2</v>
          </cell>
          <cell r="O265">
            <v>0.8</v>
          </cell>
          <cell r="P265">
            <v>77.400000000000006</v>
          </cell>
          <cell r="Q265">
            <v>0.3</v>
          </cell>
          <cell r="R265">
            <v>2.2000000000000002</v>
          </cell>
          <cell r="S265">
            <v>0</v>
          </cell>
          <cell r="T265">
            <v>0</v>
          </cell>
          <cell r="U265">
            <v>7.3</v>
          </cell>
          <cell r="V265">
            <v>6.5</v>
          </cell>
          <cell r="W265">
            <v>23</v>
          </cell>
          <cell r="X265">
            <v>0</v>
          </cell>
          <cell r="Y265">
            <v>0</v>
          </cell>
          <cell r="Z265">
            <v>0</v>
          </cell>
        </row>
        <row r="266">
          <cell r="A266">
            <v>43265</v>
          </cell>
          <cell r="B266">
            <v>265</v>
          </cell>
          <cell r="C266">
            <v>0</v>
          </cell>
          <cell r="D266">
            <v>0</v>
          </cell>
          <cell r="E266">
            <v>0</v>
          </cell>
          <cell r="F266">
            <v>94.5</v>
          </cell>
          <cell r="G266">
            <v>5</v>
          </cell>
          <cell r="H266">
            <v>1.6</v>
          </cell>
          <cell r="I266">
            <v>87.9</v>
          </cell>
          <cell r="J266">
            <v>95.6</v>
          </cell>
          <cell r="K266">
            <v>1.8</v>
          </cell>
          <cell r="L266">
            <v>3.2</v>
          </cell>
          <cell r="M266">
            <v>0.7</v>
          </cell>
          <cell r="N266">
            <v>0.9</v>
          </cell>
          <cell r="O266">
            <v>3.5</v>
          </cell>
          <cell r="P266">
            <v>2.1</v>
          </cell>
          <cell r="Q266">
            <v>1.2</v>
          </cell>
          <cell r="R266">
            <v>81.099999999999994</v>
          </cell>
          <cell r="S266">
            <v>0</v>
          </cell>
          <cell r="T266">
            <v>0</v>
          </cell>
          <cell r="U266">
            <v>1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</row>
        <row r="267">
          <cell r="A267">
            <v>43266</v>
          </cell>
          <cell r="B267">
            <v>266</v>
          </cell>
          <cell r="C267">
            <v>241.8</v>
          </cell>
          <cell r="D267">
            <v>462.3</v>
          </cell>
          <cell r="E267">
            <v>1.91</v>
          </cell>
          <cell r="F267">
            <v>116.6</v>
          </cell>
          <cell r="G267">
            <v>0.7</v>
          </cell>
          <cell r="H267">
            <v>84.3</v>
          </cell>
          <cell r="I267">
            <v>31.6</v>
          </cell>
          <cell r="J267">
            <v>177.8</v>
          </cell>
          <cell r="K267">
            <v>0.3</v>
          </cell>
          <cell r="L267">
            <v>0.5</v>
          </cell>
          <cell r="M267">
            <v>82.7</v>
          </cell>
          <cell r="N267">
            <v>1.6</v>
          </cell>
          <cell r="O267">
            <v>2.2000000000000002</v>
          </cell>
          <cell r="P267">
            <v>0.3</v>
          </cell>
          <cell r="Q267">
            <v>0.3</v>
          </cell>
          <cell r="R267">
            <v>28.8</v>
          </cell>
          <cell r="S267">
            <v>0</v>
          </cell>
          <cell r="T267">
            <v>0</v>
          </cell>
          <cell r="U267">
            <v>31.2</v>
          </cell>
          <cell r="V267">
            <v>30</v>
          </cell>
          <cell r="W267">
            <v>0</v>
          </cell>
          <cell r="X267">
            <v>0</v>
          </cell>
          <cell r="Y267">
            <v>238</v>
          </cell>
          <cell r="Z267">
            <v>0</v>
          </cell>
        </row>
        <row r="268">
          <cell r="A268">
            <v>43267</v>
          </cell>
          <cell r="B268">
            <v>267</v>
          </cell>
          <cell r="C268">
            <v>0</v>
          </cell>
          <cell r="D268">
            <v>0</v>
          </cell>
          <cell r="E268">
            <v>0</v>
          </cell>
          <cell r="F268">
            <v>413.6</v>
          </cell>
          <cell r="G268">
            <v>183.4</v>
          </cell>
          <cell r="H268">
            <v>0.8</v>
          </cell>
          <cell r="I268">
            <v>229.5</v>
          </cell>
          <cell r="J268">
            <v>413.6</v>
          </cell>
          <cell r="K268">
            <v>94.3</v>
          </cell>
          <cell r="L268">
            <v>89.1</v>
          </cell>
          <cell r="M268">
            <v>0.3</v>
          </cell>
          <cell r="N268">
            <v>0.5</v>
          </cell>
          <cell r="O268">
            <v>168.5</v>
          </cell>
          <cell r="P268">
            <v>1.1000000000000001</v>
          </cell>
          <cell r="Q268">
            <v>54.5</v>
          </cell>
          <cell r="R268">
            <v>5.4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</row>
        <row r="269">
          <cell r="A269">
            <v>43268</v>
          </cell>
          <cell r="B269">
            <v>268</v>
          </cell>
          <cell r="C269">
            <v>214.6</v>
          </cell>
          <cell r="D269">
            <v>343.1</v>
          </cell>
          <cell r="E269">
            <v>1.6</v>
          </cell>
          <cell r="F269">
            <v>92.6</v>
          </cell>
          <cell r="G269">
            <v>5</v>
          </cell>
          <cell r="H269">
            <v>4.3</v>
          </cell>
          <cell r="I269">
            <v>83.2</v>
          </cell>
          <cell r="J269">
            <v>120.3</v>
          </cell>
          <cell r="K269">
            <v>1.8</v>
          </cell>
          <cell r="L269">
            <v>3.2</v>
          </cell>
          <cell r="M269">
            <v>0.6</v>
          </cell>
          <cell r="N269">
            <v>3.7</v>
          </cell>
          <cell r="O269">
            <v>27.7</v>
          </cell>
          <cell r="P269">
            <v>37.200000000000003</v>
          </cell>
          <cell r="Q269">
            <v>9.1</v>
          </cell>
          <cell r="R269">
            <v>9.1999999999999993</v>
          </cell>
          <cell r="S269">
            <v>0</v>
          </cell>
          <cell r="T269">
            <v>0</v>
          </cell>
          <cell r="U269">
            <v>1</v>
          </cell>
          <cell r="V269">
            <v>26.7</v>
          </cell>
          <cell r="W269">
            <v>0</v>
          </cell>
          <cell r="X269">
            <v>0</v>
          </cell>
          <cell r="Y269">
            <v>55</v>
          </cell>
          <cell r="Z269">
            <v>0</v>
          </cell>
        </row>
        <row r="270">
          <cell r="A270">
            <v>43269</v>
          </cell>
          <cell r="B270">
            <v>269</v>
          </cell>
          <cell r="C270">
            <v>59.7</v>
          </cell>
          <cell r="D270">
            <v>240.8</v>
          </cell>
          <cell r="E270">
            <v>4.04</v>
          </cell>
          <cell r="F270">
            <v>15.2</v>
          </cell>
          <cell r="G270">
            <v>0.6</v>
          </cell>
          <cell r="H270">
            <v>1.9</v>
          </cell>
          <cell r="I270">
            <v>12.6</v>
          </cell>
          <cell r="J270">
            <v>25.7</v>
          </cell>
          <cell r="K270">
            <v>0.6</v>
          </cell>
          <cell r="L270">
            <v>0.1</v>
          </cell>
          <cell r="M270">
            <v>0</v>
          </cell>
          <cell r="N270">
            <v>1.9</v>
          </cell>
          <cell r="O270">
            <v>5.7</v>
          </cell>
          <cell r="P270">
            <v>0</v>
          </cell>
          <cell r="Q270">
            <v>0</v>
          </cell>
          <cell r="R270">
            <v>6.8</v>
          </cell>
          <cell r="S270">
            <v>0</v>
          </cell>
          <cell r="T270">
            <v>0</v>
          </cell>
          <cell r="U270">
            <v>3.1</v>
          </cell>
          <cell r="V270">
            <v>7.4</v>
          </cell>
          <cell r="W270">
            <v>5</v>
          </cell>
          <cell r="X270">
            <v>0</v>
          </cell>
          <cell r="Y270">
            <v>0</v>
          </cell>
          <cell r="Z270">
            <v>0</v>
          </cell>
        </row>
        <row r="271">
          <cell r="A271">
            <v>43270</v>
          </cell>
          <cell r="B271">
            <v>270</v>
          </cell>
          <cell r="C271">
            <v>84.6</v>
          </cell>
          <cell r="D271">
            <v>156.30000000000001</v>
          </cell>
          <cell r="E271">
            <v>1.85</v>
          </cell>
          <cell r="F271">
            <v>28.7</v>
          </cell>
          <cell r="G271">
            <v>5.3</v>
          </cell>
          <cell r="H271">
            <v>0.1</v>
          </cell>
          <cell r="I271">
            <v>23.4</v>
          </cell>
          <cell r="J271">
            <v>40.200000000000003</v>
          </cell>
          <cell r="K271">
            <v>0.1</v>
          </cell>
          <cell r="L271">
            <v>5.2</v>
          </cell>
          <cell r="M271">
            <v>0</v>
          </cell>
          <cell r="N271">
            <v>0</v>
          </cell>
          <cell r="O271">
            <v>9.9</v>
          </cell>
          <cell r="P271">
            <v>0.1</v>
          </cell>
          <cell r="Q271">
            <v>7</v>
          </cell>
          <cell r="R271">
            <v>6.5</v>
          </cell>
          <cell r="S271">
            <v>0</v>
          </cell>
          <cell r="T271">
            <v>0</v>
          </cell>
          <cell r="U271">
            <v>1</v>
          </cell>
          <cell r="V271">
            <v>10.5</v>
          </cell>
          <cell r="W271">
            <v>0</v>
          </cell>
          <cell r="X271">
            <v>0</v>
          </cell>
          <cell r="Y271">
            <v>15</v>
          </cell>
          <cell r="Z271">
            <v>0</v>
          </cell>
        </row>
        <row r="272">
          <cell r="A272">
            <v>43271</v>
          </cell>
          <cell r="B272">
            <v>271</v>
          </cell>
          <cell r="C272">
            <v>11.7</v>
          </cell>
          <cell r="D272">
            <v>43.8</v>
          </cell>
          <cell r="E272">
            <v>3.76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2.4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1</v>
          </cell>
          <cell r="V272">
            <v>1.4</v>
          </cell>
          <cell r="W272">
            <v>0</v>
          </cell>
          <cell r="X272">
            <v>0</v>
          </cell>
          <cell r="Y272">
            <v>4</v>
          </cell>
          <cell r="Z272">
            <v>0</v>
          </cell>
        </row>
        <row r="273">
          <cell r="A273">
            <v>43272</v>
          </cell>
          <cell r="B273">
            <v>272</v>
          </cell>
          <cell r="C273">
            <v>160.4</v>
          </cell>
          <cell r="D273">
            <v>388.1</v>
          </cell>
          <cell r="E273">
            <v>2.42</v>
          </cell>
          <cell r="F273">
            <v>10.1</v>
          </cell>
          <cell r="G273">
            <v>0.1</v>
          </cell>
          <cell r="H273">
            <v>0</v>
          </cell>
          <cell r="I273">
            <v>10</v>
          </cell>
          <cell r="J273">
            <v>40.4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0.9</v>
          </cell>
          <cell r="R273">
            <v>9</v>
          </cell>
          <cell r="S273">
            <v>0</v>
          </cell>
          <cell r="T273">
            <v>0</v>
          </cell>
          <cell r="U273">
            <v>10.4</v>
          </cell>
          <cell r="V273">
            <v>19.899999999999999</v>
          </cell>
          <cell r="W273">
            <v>0</v>
          </cell>
          <cell r="X273">
            <v>0</v>
          </cell>
          <cell r="Y273">
            <v>61</v>
          </cell>
          <cell r="Z273">
            <v>0</v>
          </cell>
        </row>
        <row r="274">
          <cell r="A274">
            <v>43273</v>
          </cell>
          <cell r="B274">
            <v>273</v>
          </cell>
          <cell r="C274">
            <v>0</v>
          </cell>
          <cell r="D274">
            <v>0</v>
          </cell>
          <cell r="E274">
            <v>0</v>
          </cell>
          <cell r="F274">
            <v>150.5</v>
          </cell>
          <cell r="G274">
            <v>2.2000000000000002</v>
          </cell>
          <cell r="H274">
            <v>0.7</v>
          </cell>
          <cell r="I274">
            <v>147.69999999999999</v>
          </cell>
          <cell r="J274">
            <v>150.5</v>
          </cell>
          <cell r="K274">
            <v>0.8</v>
          </cell>
          <cell r="L274">
            <v>1.4</v>
          </cell>
          <cell r="M274">
            <v>0.3</v>
          </cell>
          <cell r="N274">
            <v>0.4</v>
          </cell>
          <cell r="O274">
            <v>1.5</v>
          </cell>
          <cell r="P274">
            <v>141.6</v>
          </cell>
          <cell r="Q274">
            <v>0.5</v>
          </cell>
          <cell r="R274">
            <v>4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</row>
        <row r="275">
          <cell r="A275">
            <v>43274</v>
          </cell>
          <cell r="B275">
            <v>274</v>
          </cell>
          <cell r="C275">
            <v>0</v>
          </cell>
          <cell r="D275">
            <v>0</v>
          </cell>
          <cell r="E275">
            <v>0</v>
          </cell>
          <cell r="F275">
            <v>600</v>
          </cell>
          <cell r="G275">
            <v>131.19999999999999</v>
          </cell>
          <cell r="H275">
            <v>40.700000000000003</v>
          </cell>
          <cell r="I275">
            <v>428.1</v>
          </cell>
          <cell r="J275">
            <v>600</v>
          </cell>
          <cell r="K275">
            <v>43.7</v>
          </cell>
          <cell r="L275">
            <v>87.5</v>
          </cell>
          <cell r="M275">
            <v>16.7</v>
          </cell>
          <cell r="N275">
            <v>23.9</v>
          </cell>
          <cell r="O275">
            <v>98.5</v>
          </cell>
          <cell r="P275">
            <v>54</v>
          </cell>
          <cell r="Q275">
            <v>32.799999999999997</v>
          </cell>
          <cell r="R275">
            <v>242.7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413</v>
          </cell>
        </row>
        <row r="276">
          <cell r="A276">
            <v>43275</v>
          </cell>
          <cell r="B276">
            <v>275</v>
          </cell>
          <cell r="C276">
            <v>57.5</v>
          </cell>
          <cell r="D276">
            <v>99.5</v>
          </cell>
          <cell r="E276">
            <v>1.73</v>
          </cell>
          <cell r="F276">
            <v>50.1</v>
          </cell>
          <cell r="G276">
            <v>2.4</v>
          </cell>
          <cell r="H276">
            <v>0.7</v>
          </cell>
          <cell r="I276">
            <v>47</v>
          </cell>
          <cell r="J276">
            <v>64.5</v>
          </cell>
          <cell r="K276">
            <v>0.9</v>
          </cell>
          <cell r="L276">
            <v>1.5</v>
          </cell>
          <cell r="M276">
            <v>0.3</v>
          </cell>
          <cell r="N276">
            <v>0.4</v>
          </cell>
          <cell r="O276">
            <v>1.7</v>
          </cell>
          <cell r="P276">
            <v>1</v>
          </cell>
          <cell r="Q276">
            <v>0.6</v>
          </cell>
          <cell r="R276">
            <v>43.8</v>
          </cell>
          <cell r="S276">
            <v>0</v>
          </cell>
          <cell r="T276">
            <v>0</v>
          </cell>
          <cell r="U276">
            <v>7.3</v>
          </cell>
          <cell r="V276">
            <v>7.1</v>
          </cell>
          <cell r="W276">
            <v>0</v>
          </cell>
          <cell r="X276">
            <v>0</v>
          </cell>
          <cell r="Y276">
            <v>256</v>
          </cell>
          <cell r="Z276">
            <v>0</v>
          </cell>
        </row>
        <row r="277">
          <cell r="A277">
            <v>43276</v>
          </cell>
          <cell r="B277">
            <v>276</v>
          </cell>
          <cell r="C277">
            <v>131.6</v>
          </cell>
          <cell r="D277">
            <v>250.1</v>
          </cell>
          <cell r="E277">
            <v>1.9</v>
          </cell>
          <cell r="F277">
            <v>8</v>
          </cell>
          <cell r="G277">
            <v>0.1</v>
          </cell>
          <cell r="H277">
            <v>0.9</v>
          </cell>
          <cell r="I277">
            <v>7.1</v>
          </cell>
          <cell r="J277">
            <v>24.3</v>
          </cell>
          <cell r="K277">
            <v>0</v>
          </cell>
          <cell r="L277">
            <v>0</v>
          </cell>
          <cell r="M277">
            <v>0</v>
          </cell>
          <cell r="N277">
            <v>0.9</v>
          </cell>
          <cell r="O277">
            <v>5.5</v>
          </cell>
          <cell r="P277">
            <v>0</v>
          </cell>
          <cell r="Q277">
            <v>0</v>
          </cell>
          <cell r="R277">
            <v>1.5</v>
          </cell>
          <cell r="S277">
            <v>0</v>
          </cell>
          <cell r="T277">
            <v>0</v>
          </cell>
          <cell r="U277">
            <v>0</v>
          </cell>
          <cell r="V277">
            <v>16.3</v>
          </cell>
          <cell r="W277">
            <v>1</v>
          </cell>
          <cell r="X277">
            <v>0</v>
          </cell>
          <cell r="Y277">
            <v>34</v>
          </cell>
          <cell r="Z277">
            <v>0</v>
          </cell>
        </row>
        <row r="278">
          <cell r="A278">
            <v>43277</v>
          </cell>
          <cell r="B278">
            <v>277</v>
          </cell>
          <cell r="C278">
            <v>50.5</v>
          </cell>
          <cell r="D278">
            <v>100.1</v>
          </cell>
          <cell r="E278">
            <v>1.98</v>
          </cell>
          <cell r="F278">
            <v>23.8</v>
          </cell>
          <cell r="G278">
            <v>0.8</v>
          </cell>
          <cell r="H278">
            <v>0.2</v>
          </cell>
          <cell r="I278">
            <v>22.8</v>
          </cell>
          <cell r="J278">
            <v>31.1</v>
          </cell>
          <cell r="K278">
            <v>0.3</v>
          </cell>
          <cell r="L278">
            <v>0.5</v>
          </cell>
          <cell r="M278">
            <v>0.1</v>
          </cell>
          <cell r="N278">
            <v>0.1</v>
          </cell>
          <cell r="O278">
            <v>0.5</v>
          </cell>
          <cell r="P278">
            <v>1.3</v>
          </cell>
          <cell r="Q278">
            <v>1.1000000000000001</v>
          </cell>
          <cell r="R278">
            <v>19.899999999999999</v>
          </cell>
          <cell r="S278">
            <v>0</v>
          </cell>
          <cell r="T278">
            <v>0</v>
          </cell>
          <cell r="U278">
            <v>1</v>
          </cell>
          <cell r="V278">
            <v>6.3</v>
          </cell>
          <cell r="W278">
            <v>8</v>
          </cell>
          <cell r="X278">
            <v>0</v>
          </cell>
          <cell r="Y278">
            <v>0</v>
          </cell>
          <cell r="Z278">
            <v>0</v>
          </cell>
        </row>
        <row r="279">
          <cell r="A279">
            <v>43278</v>
          </cell>
          <cell r="B279">
            <v>278</v>
          </cell>
          <cell r="C279">
            <v>169.1</v>
          </cell>
          <cell r="D279">
            <v>380.1</v>
          </cell>
          <cell r="E279">
            <v>2.25</v>
          </cell>
          <cell r="F279">
            <v>49.1</v>
          </cell>
          <cell r="G279">
            <v>1.6</v>
          </cell>
          <cell r="H279">
            <v>1.4</v>
          </cell>
          <cell r="I279">
            <v>46.1</v>
          </cell>
          <cell r="J279">
            <v>73.2</v>
          </cell>
          <cell r="K279">
            <v>0.6</v>
          </cell>
          <cell r="L279">
            <v>1</v>
          </cell>
          <cell r="M279">
            <v>1.1000000000000001</v>
          </cell>
          <cell r="N279">
            <v>0.3</v>
          </cell>
          <cell r="O279">
            <v>16.3</v>
          </cell>
          <cell r="P279">
            <v>0.6</v>
          </cell>
          <cell r="Q279">
            <v>0.4</v>
          </cell>
          <cell r="R279">
            <v>28.8</v>
          </cell>
          <cell r="S279">
            <v>0</v>
          </cell>
          <cell r="T279">
            <v>0</v>
          </cell>
          <cell r="U279">
            <v>3.1</v>
          </cell>
          <cell r="V279">
            <v>21</v>
          </cell>
          <cell r="W279">
            <v>26</v>
          </cell>
          <cell r="X279">
            <v>0</v>
          </cell>
          <cell r="Y279">
            <v>0</v>
          </cell>
          <cell r="Z279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_SUMMIT_2042_US40"/>
    </sheetNames>
    <sheetDataSet>
      <sheetData sheetId="0">
        <row r="1">
          <cell r="A1" t="str">
            <v>;CO_TAZID</v>
          </cell>
          <cell r="B1" t="str">
            <v>Index</v>
          </cell>
          <cell r="C1" t="str">
            <v>TOTHH</v>
          </cell>
          <cell r="D1" t="str">
            <v>HHPOP</v>
          </cell>
          <cell r="E1" t="str">
            <v>HHSIZE</v>
          </cell>
          <cell r="F1" t="str">
            <v>TOTEMP</v>
          </cell>
          <cell r="G1" t="str">
            <v>RETEMP</v>
          </cell>
          <cell r="H1" t="str">
            <v>INDEMP</v>
          </cell>
          <cell r="I1" t="str">
            <v>OTHEMP</v>
          </cell>
          <cell r="J1" t="str">
            <v>ALLEMP</v>
          </cell>
          <cell r="K1" t="str">
            <v>RETL</v>
          </cell>
          <cell r="L1" t="str">
            <v>FOOD</v>
          </cell>
          <cell r="M1" t="str">
            <v>MANU</v>
          </cell>
          <cell r="N1" t="str">
            <v>WSLE</v>
          </cell>
          <cell r="O1" t="str">
            <v>OFFI</v>
          </cell>
          <cell r="P1" t="str">
            <v>GVED</v>
          </cell>
          <cell r="Q1" t="str">
            <v>HLTH</v>
          </cell>
          <cell r="R1" t="str">
            <v>OTHR</v>
          </cell>
          <cell r="S1" t="str">
            <v>FM_AGRI</v>
          </cell>
          <cell r="T1" t="str">
            <v>FM_MING</v>
          </cell>
          <cell r="U1" t="str">
            <v>FM_CONS</v>
          </cell>
          <cell r="V1" t="str">
            <v>HBJ</v>
          </cell>
          <cell r="W1" t="str">
            <v>SEC_HOME</v>
          </cell>
          <cell r="X1" t="str">
            <v>CABIN</v>
          </cell>
          <cell r="Y1" t="str">
            <v>CONDO</v>
          </cell>
          <cell r="Z1" t="str">
            <v>HOTEL</v>
          </cell>
        </row>
        <row r="2">
          <cell r="A2">
            <v>43001</v>
          </cell>
          <cell r="B2">
            <v>1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2</v>
          </cell>
          <cell r="X2">
            <v>0</v>
          </cell>
          <cell r="Y2">
            <v>0</v>
          </cell>
          <cell r="Z2">
            <v>0</v>
          </cell>
        </row>
        <row r="3">
          <cell r="A3">
            <v>43002</v>
          </cell>
          <cell r="B3">
            <v>2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</row>
        <row r="4">
          <cell r="A4">
            <v>43003</v>
          </cell>
          <cell r="B4">
            <v>3</v>
          </cell>
          <cell r="C4">
            <v>35.799999999999997</v>
          </cell>
          <cell r="D4">
            <v>103.6</v>
          </cell>
          <cell r="E4">
            <v>2.89</v>
          </cell>
          <cell r="F4">
            <v>3.7</v>
          </cell>
          <cell r="G4">
            <v>0.1</v>
          </cell>
          <cell r="H4">
            <v>0</v>
          </cell>
          <cell r="I4">
            <v>3.6</v>
          </cell>
          <cell r="J4">
            <v>9.3000000000000007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3.4</v>
          </cell>
          <cell r="P4">
            <v>0</v>
          </cell>
          <cell r="Q4">
            <v>0</v>
          </cell>
          <cell r="R4">
            <v>0.1</v>
          </cell>
          <cell r="S4">
            <v>0</v>
          </cell>
          <cell r="T4">
            <v>0</v>
          </cell>
          <cell r="U4">
            <v>1.4</v>
          </cell>
          <cell r="V4">
            <v>4.2</v>
          </cell>
          <cell r="W4">
            <v>13</v>
          </cell>
          <cell r="X4">
            <v>0</v>
          </cell>
          <cell r="Y4">
            <v>0</v>
          </cell>
          <cell r="Z4">
            <v>0</v>
          </cell>
        </row>
        <row r="5">
          <cell r="A5">
            <v>43004</v>
          </cell>
          <cell r="B5">
            <v>4</v>
          </cell>
          <cell r="C5">
            <v>503.5</v>
          </cell>
          <cell r="D5">
            <v>1389.9</v>
          </cell>
          <cell r="E5">
            <v>2.76</v>
          </cell>
          <cell r="F5">
            <v>315</v>
          </cell>
          <cell r="G5">
            <v>3.7</v>
          </cell>
          <cell r="H5">
            <v>25.4</v>
          </cell>
          <cell r="I5">
            <v>286</v>
          </cell>
          <cell r="J5">
            <v>398.7</v>
          </cell>
          <cell r="K5">
            <v>1.6</v>
          </cell>
          <cell r="L5">
            <v>2.1</v>
          </cell>
          <cell r="M5">
            <v>0.5</v>
          </cell>
          <cell r="N5">
            <v>24.9</v>
          </cell>
          <cell r="O5">
            <v>68.5</v>
          </cell>
          <cell r="P5">
            <v>17.600000000000001</v>
          </cell>
          <cell r="Q5">
            <v>0.9</v>
          </cell>
          <cell r="R5">
            <v>198.9</v>
          </cell>
          <cell r="S5">
            <v>0</v>
          </cell>
          <cell r="T5">
            <v>0</v>
          </cell>
          <cell r="U5">
            <v>25.2</v>
          </cell>
          <cell r="V5">
            <v>58.5</v>
          </cell>
          <cell r="W5">
            <v>98</v>
          </cell>
          <cell r="X5">
            <v>0</v>
          </cell>
          <cell r="Y5">
            <v>0</v>
          </cell>
          <cell r="Z5">
            <v>0</v>
          </cell>
        </row>
        <row r="6">
          <cell r="A6">
            <v>43005</v>
          </cell>
          <cell r="B6">
            <v>5</v>
          </cell>
          <cell r="C6">
            <v>553.79999999999995</v>
          </cell>
          <cell r="D6">
            <v>1468</v>
          </cell>
          <cell r="E6">
            <v>2.65</v>
          </cell>
          <cell r="F6">
            <v>135</v>
          </cell>
          <cell r="G6">
            <v>0</v>
          </cell>
          <cell r="H6">
            <v>18.2</v>
          </cell>
          <cell r="I6">
            <v>116.8</v>
          </cell>
          <cell r="J6">
            <v>214.7</v>
          </cell>
          <cell r="K6">
            <v>0</v>
          </cell>
          <cell r="L6">
            <v>0</v>
          </cell>
          <cell r="M6">
            <v>15.4</v>
          </cell>
          <cell r="N6">
            <v>2.7</v>
          </cell>
          <cell r="O6">
            <v>78.099999999999994</v>
          </cell>
          <cell r="P6">
            <v>0</v>
          </cell>
          <cell r="Q6">
            <v>0</v>
          </cell>
          <cell r="R6">
            <v>38.700000000000003</v>
          </cell>
          <cell r="S6">
            <v>0</v>
          </cell>
          <cell r="T6">
            <v>0</v>
          </cell>
          <cell r="U6">
            <v>15.4</v>
          </cell>
          <cell r="V6">
            <v>64.3</v>
          </cell>
          <cell r="W6">
            <v>92</v>
          </cell>
          <cell r="X6">
            <v>0</v>
          </cell>
          <cell r="Y6">
            <v>0</v>
          </cell>
          <cell r="Z6">
            <v>0</v>
          </cell>
        </row>
        <row r="7">
          <cell r="A7">
            <v>43006</v>
          </cell>
          <cell r="B7">
            <v>6</v>
          </cell>
          <cell r="C7">
            <v>10</v>
          </cell>
          <cell r="D7">
            <v>22.8</v>
          </cell>
          <cell r="E7">
            <v>2.2799999999999998</v>
          </cell>
          <cell r="F7">
            <v>363.3</v>
          </cell>
          <cell r="G7">
            <v>36.799999999999997</v>
          </cell>
          <cell r="H7">
            <v>89.4</v>
          </cell>
          <cell r="I7">
            <v>237.1</v>
          </cell>
          <cell r="J7">
            <v>365.9</v>
          </cell>
          <cell r="K7">
            <v>29</v>
          </cell>
          <cell r="L7">
            <v>7.8</v>
          </cell>
          <cell r="M7">
            <v>1.7</v>
          </cell>
          <cell r="N7">
            <v>87.6</v>
          </cell>
          <cell r="O7">
            <v>49.2</v>
          </cell>
          <cell r="P7">
            <v>107.6</v>
          </cell>
          <cell r="Q7">
            <v>35</v>
          </cell>
          <cell r="R7">
            <v>45.4</v>
          </cell>
          <cell r="S7">
            <v>0</v>
          </cell>
          <cell r="T7">
            <v>0</v>
          </cell>
          <cell r="U7">
            <v>1.4</v>
          </cell>
          <cell r="V7">
            <v>1.2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</row>
        <row r="8">
          <cell r="A8">
            <v>43007</v>
          </cell>
          <cell r="B8">
            <v>7</v>
          </cell>
          <cell r="C8">
            <v>71.099999999999994</v>
          </cell>
          <cell r="D8">
            <v>163.19999999999999</v>
          </cell>
          <cell r="E8">
            <v>2.29</v>
          </cell>
          <cell r="F8">
            <v>15</v>
          </cell>
          <cell r="G8">
            <v>3.3</v>
          </cell>
          <cell r="H8">
            <v>1</v>
          </cell>
          <cell r="I8">
            <v>10.7</v>
          </cell>
          <cell r="J8">
            <v>77.8</v>
          </cell>
          <cell r="K8">
            <v>1.3</v>
          </cell>
          <cell r="L8">
            <v>2</v>
          </cell>
          <cell r="M8">
            <v>0.4</v>
          </cell>
          <cell r="N8">
            <v>0.5</v>
          </cell>
          <cell r="O8">
            <v>2.7</v>
          </cell>
          <cell r="P8">
            <v>1.4</v>
          </cell>
          <cell r="Q8">
            <v>0.9</v>
          </cell>
          <cell r="R8">
            <v>5.8</v>
          </cell>
          <cell r="S8">
            <v>0</v>
          </cell>
          <cell r="T8">
            <v>0</v>
          </cell>
          <cell r="U8">
            <v>54.5</v>
          </cell>
          <cell r="V8">
            <v>8.3000000000000007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</row>
        <row r="9">
          <cell r="A9">
            <v>43008</v>
          </cell>
          <cell r="B9">
            <v>8</v>
          </cell>
          <cell r="C9">
            <v>0</v>
          </cell>
          <cell r="D9">
            <v>0</v>
          </cell>
          <cell r="E9">
            <v>0</v>
          </cell>
          <cell r="F9">
            <v>561.4</v>
          </cell>
          <cell r="G9">
            <v>20.9</v>
          </cell>
          <cell r="H9">
            <v>25</v>
          </cell>
          <cell r="I9">
            <v>515.6</v>
          </cell>
          <cell r="J9">
            <v>562.79999999999995</v>
          </cell>
          <cell r="K9">
            <v>17.399999999999999</v>
          </cell>
          <cell r="L9">
            <v>3.4</v>
          </cell>
          <cell r="M9">
            <v>12.3</v>
          </cell>
          <cell r="N9">
            <v>12.6</v>
          </cell>
          <cell r="O9">
            <v>364.9</v>
          </cell>
          <cell r="P9">
            <v>2.6</v>
          </cell>
          <cell r="Q9">
            <v>37.9</v>
          </cell>
          <cell r="R9">
            <v>110.2</v>
          </cell>
          <cell r="S9">
            <v>0</v>
          </cell>
          <cell r="T9">
            <v>0</v>
          </cell>
          <cell r="U9">
            <v>1.4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</row>
        <row r="10">
          <cell r="A10">
            <v>43009</v>
          </cell>
          <cell r="B10">
            <v>9</v>
          </cell>
          <cell r="C10">
            <v>684.2</v>
          </cell>
          <cell r="D10">
            <v>1705.1</v>
          </cell>
          <cell r="E10">
            <v>2.4900000000000002</v>
          </cell>
          <cell r="F10">
            <v>215.6</v>
          </cell>
          <cell r="G10">
            <v>7.9</v>
          </cell>
          <cell r="H10">
            <v>90.3</v>
          </cell>
          <cell r="I10">
            <v>117.5</v>
          </cell>
          <cell r="J10">
            <v>337.1</v>
          </cell>
          <cell r="K10">
            <v>2</v>
          </cell>
          <cell r="L10">
            <v>5.9</v>
          </cell>
          <cell r="M10">
            <v>0.8</v>
          </cell>
          <cell r="N10">
            <v>89.5</v>
          </cell>
          <cell r="O10">
            <v>22.9</v>
          </cell>
          <cell r="P10">
            <v>2</v>
          </cell>
          <cell r="Q10">
            <v>17.600000000000001</v>
          </cell>
          <cell r="R10">
            <v>75</v>
          </cell>
          <cell r="S10">
            <v>0</v>
          </cell>
          <cell r="T10">
            <v>0</v>
          </cell>
          <cell r="U10">
            <v>41.9</v>
          </cell>
          <cell r="V10">
            <v>79.5</v>
          </cell>
          <cell r="W10">
            <v>120</v>
          </cell>
          <cell r="X10">
            <v>0</v>
          </cell>
          <cell r="Y10">
            <v>0</v>
          </cell>
          <cell r="Z10">
            <v>0</v>
          </cell>
        </row>
        <row r="11">
          <cell r="A11">
            <v>43010</v>
          </cell>
          <cell r="B11">
            <v>10</v>
          </cell>
          <cell r="C11">
            <v>749.3</v>
          </cell>
          <cell r="D11">
            <v>1458.2</v>
          </cell>
          <cell r="E11">
            <v>1.95</v>
          </cell>
          <cell r="F11">
            <v>183.4</v>
          </cell>
          <cell r="G11">
            <v>29.7</v>
          </cell>
          <cell r="H11">
            <v>9.1999999999999993</v>
          </cell>
          <cell r="I11">
            <v>144.5</v>
          </cell>
          <cell r="J11">
            <v>276</v>
          </cell>
          <cell r="K11">
            <v>0</v>
          </cell>
          <cell r="L11">
            <v>29.7</v>
          </cell>
          <cell r="M11">
            <v>0.3</v>
          </cell>
          <cell r="N11">
            <v>9</v>
          </cell>
          <cell r="O11">
            <v>44.4</v>
          </cell>
          <cell r="P11">
            <v>1.3</v>
          </cell>
          <cell r="Q11">
            <v>6.4</v>
          </cell>
          <cell r="R11">
            <v>92.4</v>
          </cell>
          <cell r="S11">
            <v>0</v>
          </cell>
          <cell r="T11">
            <v>0</v>
          </cell>
          <cell r="U11">
            <v>5.6</v>
          </cell>
          <cell r="V11">
            <v>87</v>
          </cell>
          <cell r="W11">
            <v>79</v>
          </cell>
          <cell r="X11">
            <v>0</v>
          </cell>
          <cell r="Y11">
            <v>0</v>
          </cell>
          <cell r="Z11">
            <v>0</v>
          </cell>
        </row>
        <row r="12">
          <cell r="A12">
            <v>43011</v>
          </cell>
          <cell r="B12">
            <v>11</v>
          </cell>
          <cell r="C12">
            <v>66.900000000000006</v>
          </cell>
          <cell r="D12">
            <v>210.5</v>
          </cell>
          <cell r="E12">
            <v>3.15</v>
          </cell>
          <cell r="F12">
            <v>3.6</v>
          </cell>
          <cell r="G12">
            <v>0</v>
          </cell>
          <cell r="H12">
            <v>0</v>
          </cell>
          <cell r="I12">
            <v>3.6</v>
          </cell>
          <cell r="J12">
            <v>17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2</v>
          </cell>
          <cell r="P12">
            <v>0</v>
          </cell>
          <cell r="Q12">
            <v>0</v>
          </cell>
          <cell r="R12">
            <v>1.5</v>
          </cell>
          <cell r="S12">
            <v>0</v>
          </cell>
          <cell r="T12">
            <v>0</v>
          </cell>
          <cell r="U12">
            <v>5.6</v>
          </cell>
          <cell r="V12">
            <v>7.8</v>
          </cell>
          <cell r="W12">
            <v>64</v>
          </cell>
          <cell r="X12">
            <v>0</v>
          </cell>
          <cell r="Y12">
            <v>0</v>
          </cell>
          <cell r="Z12">
            <v>0</v>
          </cell>
        </row>
        <row r="13">
          <cell r="A13">
            <v>43012</v>
          </cell>
          <cell r="B13">
            <v>12</v>
          </cell>
          <cell r="C13">
            <v>23.9</v>
          </cell>
          <cell r="D13">
            <v>35.299999999999997</v>
          </cell>
          <cell r="E13">
            <v>1.48</v>
          </cell>
          <cell r="F13">
            <v>5.3</v>
          </cell>
          <cell r="G13">
            <v>0</v>
          </cell>
          <cell r="H13">
            <v>0</v>
          </cell>
          <cell r="I13">
            <v>5.3</v>
          </cell>
          <cell r="J13">
            <v>9.5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3.8</v>
          </cell>
          <cell r="P13">
            <v>0</v>
          </cell>
          <cell r="Q13">
            <v>0</v>
          </cell>
          <cell r="R13">
            <v>1.4</v>
          </cell>
          <cell r="S13">
            <v>0</v>
          </cell>
          <cell r="T13">
            <v>0</v>
          </cell>
          <cell r="U13">
            <v>1.4</v>
          </cell>
          <cell r="V13">
            <v>2.8</v>
          </cell>
          <cell r="W13">
            <v>12</v>
          </cell>
          <cell r="X13">
            <v>0</v>
          </cell>
          <cell r="Y13">
            <v>0</v>
          </cell>
          <cell r="Z13">
            <v>0</v>
          </cell>
        </row>
        <row r="14">
          <cell r="A14">
            <v>43013</v>
          </cell>
          <cell r="B14">
            <v>13</v>
          </cell>
          <cell r="C14">
            <v>60.6</v>
          </cell>
          <cell r="D14">
            <v>141.80000000000001</v>
          </cell>
          <cell r="E14">
            <v>2.34</v>
          </cell>
          <cell r="F14">
            <v>1.8</v>
          </cell>
          <cell r="G14">
            <v>0</v>
          </cell>
          <cell r="H14">
            <v>0</v>
          </cell>
          <cell r="I14">
            <v>1.8</v>
          </cell>
          <cell r="J14">
            <v>8.8000000000000007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1.8</v>
          </cell>
          <cell r="S14">
            <v>0</v>
          </cell>
          <cell r="T14">
            <v>0</v>
          </cell>
          <cell r="U14">
            <v>0</v>
          </cell>
          <cell r="V14">
            <v>7</v>
          </cell>
          <cell r="W14">
            <v>10</v>
          </cell>
          <cell r="X14">
            <v>0</v>
          </cell>
          <cell r="Y14">
            <v>0</v>
          </cell>
          <cell r="Z14">
            <v>0</v>
          </cell>
        </row>
        <row r="15">
          <cell r="A15">
            <v>43014</v>
          </cell>
          <cell r="B15">
            <v>14</v>
          </cell>
          <cell r="C15">
            <v>33.299999999999997</v>
          </cell>
          <cell r="D15">
            <v>142.30000000000001</v>
          </cell>
          <cell r="E15">
            <v>4.2699999999999996</v>
          </cell>
          <cell r="F15">
            <v>56.8</v>
          </cell>
          <cell r="G15">
            <v>0.6</v>
          </cell>
          <cell r="H15">
            <v>1.9</v>
          </cell>
          <cell r="I15">
            <v>54.4</v>
          </cell>
          <cell r="J15">
            <v>63.5</v>
          </cell>
          <cell r="K15">
            <v>0.3</v>
          </cell>
          <cell r="L15">
            <v>0.3</v>
          </cell>
          <cell r="M15">
            <v>0.1</v>
          </cell>
          <cell r="N15">
            <v>1.8</v>
          </cell>
          <cell r="O15">
            <v>0.4</v>
          </cell>
          <cell r="P15">
            <v>0.2</v>
          </cell>
          <cell r="Q15">
            <v>0.1</v>
          </cell>
          <cell r="R15">
            <v>53.5</v>
          </cell>
          <cell r="S15">
            <v>0</v>
          </cell>
          <cell r="T15">
            <v>0</v>
          </cell>
          <cell r="U15">
            <v>2.8</v>
          </cell>
          <cell r="V15">
            <v>3.9</v>
          </cell>
          <cell r="W15">
            <v>11</v>
          </cell>
          <cell r="X15">
            <v>0</v>
          </cell>
          <cell r="Y15">
            <v>0</v>
          </cell>
          <cell r="Z15">
            <v>0</v>
          </cell>
        </row>
        <row r="16">
          <cell r="A16">
            <v>43015</v>
          </cell>
          <cell r="B16">
            <v>15</v>
          </cell>
          <cell r="C16">
            <v>39.6</v>
          </cell>
          <cell r="D16">
            <v>104.6</v>
          </cell>
          <cell r="E16">
            <v>2.64</v>
          </cell>
          <cell r="F16">
            <v>3.9</v>
          </cell>
          <cell r="G16">
            <v>0.1</v>
          </cell>
          <cell r="H16">
            <v>3.6</v>
          </cell>
          <cell r="I16">
            <v>0.2</v>
          </cell>
          <cell r="J16">
            <v>8.5</v>
          </cell>
          <cell r="K16">
            <v>0</v>
          </cell>
          <cell r="L16">
            <v>0</v>
          </cell>
          <cell r="M16">
            <v>0</v>
          </cell>
          <cell r="N16">
            <v>3.6</v>
          </cell>
          <cell r="O16">
            <v>0.1</v>
          </cell>
          <cell r="P16">
            <v>0</v>
          </cell>
          <cell r="Q16">
            <v>0</v>
          </cell>
          <cell r="R16">
            <v>0.1</v>
          </cell>
          <cell r="S16">
            <v>0</v>
          </cell>
          <cell r="T16">
            <v>0</v>
          </cell>
          <cell r="U16">
            <v>0</v>
          </cell>
          <cell r="V16">
            <v>4.5999999999999996</v>
          </cell>
          <cell r="W16">
            <v>12</v>
          </cell>
          <cell r="X16">
            <v>0</v>
          </cell>
          <cell r="Y16">
            <v>0</v>
          </cell>
          <cell r="Z16">
            <v>0</v>
          </cell>
        </row>
        <row r="17">
          <cell r="A17">
            <v>43016</v>
          </cell>
          <cell r="B17">
            <v>16</v>
          </cell>
          <cell r="C17">
            <v>74.3</v>
          </cell>
          <cell r="D17">
            <v>191.3</v>
          </cell>
          <cell r="E17">
            <v>2.58</v>
          </cell>
          <cell r="F17">
            <v>31.1</v>
          </cell>
          <cell r="G17">
            <v>0.2</v>
          </cell>
          <cell r="H17">
            <v>8.1</v>
          </cell>
          <cell r="I17">
            <v>22.7</v>
          </cell>
          <cell r="J17">
            <v>41.1</v>
          </cell>
          <cell r="K17">
            <v>0.1</v>
          </cell>
          <cell r="L17">
            <v>0.1</v>
          </cell>
          <cell r="M17">
            <v>0</v>
          </cell>
          <cell r="N17">
            <v>8.1</v>
          </cell>
          <cell r="O17">
            <v>8.4</v>
          </cell>
          <cell r="P17">
            <v>0.1</v>
          </cell>
          <cell r="Q17">
            <v>0.9</v>
          </cell>
          <cell r="R17">
            <v>13.3</v>
          </cell>
          <cell r="S17">
            <v>0</v>
          </cell>
          <cell r="T17">
            <v>0</v>
          </cell>
          <cell r="U17">
            <v>1.4</v>
          </cell>
          <cell r="V17">
            <v>8.6</v>
          </cell>
          <cell r="W17">
            <v>17</v>
          </cell>
          <cell r="X17">
            <v>0</v>
          </cell>
          <cell r="Y17">
            <v>0</v>
          </cell>
          <cell r="Z17">
            <v>0</v>
          </cell>
        </row>
        <row r="18">
          <cell r="A18">
            <v>43017</v>
          </cell>
          <cell r="B18">
            <v>17</v>
          </cell>
          <cell r="C18">
            <v>69.2</v>
          </cell>
          <cell r="D18">
            <v>115.3</v>
          </cell>
          <cell r="E18">
            <v>1.67</v>
          </cell>
          <cell r="F18">
            <v>354.3</v>
          </cell>
          <cell r="G18">
            <v>3.8</v>
          </cell>
          <cell r="H18">
            <v>2.9</v>
          </cell>
          <cell r="I18">
            <v>347.6</v>
          </cell>
          <cell r="J18">
            <v>366.5</v>
          </cell>
          <cell r="K18">
            <v>1.6</v>
          </cell>
          <cell r="L18">
            <v>2.2000000000000002</v>
          </cell>
          <cell r="M18">
            <v>2.2999999999999998</v>
          </cell>
          <cell r="N18">
            <v>0.6</v>
          </cell>
          <cell r="O18">
            <v>45.9</v>
          </cell>
          <cell r="P18">
            <v>1.6</v>
          </cell>
          <cell r="Q18">
            <v>1</v>
          </cell>
          <cell r="R18">
            <v>299.10000000000002</v>
          </cell>
          <cell r="S18">
            <v>0</v>
          </cell>
          <cell r="T18">
            <v>0</v>
          </cell>
          <cell r="U18">
            <v>4.2</v>
          </cell>
          <cell r="V18">
            <v>8</v>
          </cell>
          <cell r="W18">
            <v>76</v>
          </cell>
          <cell r="X18">
            <v>0</v>
          </cell>
          <cell r="Y18">
            <v>0</v>
          </cell>
          <cell r="Z18">
            <v>0</v>
          </cell>
        </row>
        <row r="19">
          <cell r="A19">
            <v>43018</v>
          </cell>
          <cell r="B19">
            <v>18</v>
          </cell>
          <cell r="C19">
            <v>88.2</v>
          </cell>
          <cell r="D19">
            <v>330.4</v>
          </cell>
          <cell r="E19">
            <v>3.75</v>
          </cell>
          <cell r="F19">
            <v>71.599999999999994</v>
          </cell>
          <cell r="G19">
            <v>8</v>
          </cell>
          <cell r="H19">
            <v>2.2999999999999998</v>
          </cell>
          <cell r="I19">
            <v>61.4</v>
          </cell>
          <cell r="J19">
            <v>94.4</v>
          </cell>
          <cell r="K19">
            <v>3.4</v>
          </cell>
          <cell r="L19">
            <v>4.5999999999999996</v>
          </cell>
          <cell r="M19">
            <v>1</v>
          </cell>
          <cell r="N19">
            <v>1.3</v>
          </cell>
          <cell r="O19">
            <v>21.6</v>
          </cell>
          <cell r="P19">
            <v>3.4</v>
          </cell>
          <cell r="Q19">
            <v>2</v>
          </cell>
          <cell r="R19">
            <v>34.299999999999997</v>
          </cell>
          <cell r="S19">
            <v>0</v>
          </cell>
          <cell r="T19">
            <v>0</v>
          </cell>
          <cell r="U19">
            <v>12.6</v>
          </cell>
          <cell r="V19">
            <v>10.199999999999999</v>
          </cell>
          <cell r="W19">
            <v>17</v>
          </cell>
          <cell r="X19">
            <v>0</v>
          </cell>
          <cell r="Y19">
            <v>0</v>
          </cell>
          <cell r="Z19">
            <v>0</v>
          </cell>
        </row>
        <row r="20">
          <cell r="A20">
            <v>43019</v>
          </cell>
          <cell r="B20">
            <v>19</v>
          </cell>
          <cell r="C20">
            <v>114.4</v>
          </cell>
          <cell r="D20">
            <v>359.6</v>
          </cell>
          <cell r="E20">
            <v>3.14</v>
          </cell>
          <cell r="F20">
            <v>169.1</v>
          </cell>
          <cell r="G20">
            <v>16.2</v>
          </cell>
          <cell r="H20">
            <v>15.6</v>
          </cell>
          <cell r="I20">
            <v>137.30000000000001</v>
          </cell>
          <cell r="J20">
            <v>183.8</v>
          </cell>
          <cell r="K20">
            <v>7.9</v>
          </cell>
          <cell r="L20">
            <v>8.3000000000000007</v>
          </cell>
          <cell r="M20">
            <v>1</v>
          </cell>
          <cell r="N20">
            <v>14.5</v>
          </cell>
          <cell r="O20">
            <v>6.3</v>
          </cell>
          <cell r="P20">
            <v>3.4</v>
          </cell>
          <cell r="Q20">
            <v>26.2</v>
          </cell>
          <cell r="R20">
            <v>101.3</v>
          </cell>
          <cell r="S20">
            <v>0</v>
          </cell>
          <cell r="T20">
            <v>0</v>
          </cell>
          <cell r="U20">
            <v>1.4</v>
          </cell>
          <cell r="V20">
            <v>13.3</v>
          </cell>
          <cell r="W20">
            <v>20</v>
          </cell>
          <cell r="X20">
            <v>0</v>
          </cell>
          <cell r="Y20">
            <v>0</v>
          </cell>
          <cell r="Z20">
            <v>0</v>
          </cell>
        </row>
        <row r="21">
          <cell r="A21">
            <v>43020</v>
          </cell>
          <cell r="B21">
            <v>20</v>
          </cell>
          <cell r="C21">
            <v>0</v>
          </cell>
          <cell r="D21">
            <v>0</v>
          </cell>
          <cell r="E21">
            <v>0</v>
          </cell>
          <cell r="F21">
            <v>91.8</v>
          </cell>
          <cell r="G21">
            <v>34</v>
          </cell>
          <cell r="H21">
            <v>1</v>
          </cell>
          <cell r="I21">
            <v>56.7</v>
          </cell>
          <cell r="J21">
            <v>91.8</v>
          </cell>
          <cell r="K21">
            <v>31.2</v>
          </cell>
          <cell r="L21">
            <v>2.8</v>
          </cell>
          <cell r="M21">
            <v>0.5</v>
          </cell>
          <cell r="N21">
            <v>0.6</v>
          </cell>
          <cell r="O21">
            <v>48.2</v>
          </cell>
          <cell r="P21">
            <v>1.5</v>
          </cell>
          <cell r="Q21">
            <v>0.9</v>
          </cell>
          <cell r="R21">
            <v>6.1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</row>
        <row r="22">
          <cell r="A22">
            <v>43021</v>
          </cell>
          <cell r="B22">
            <v>21</v>
          </cell>
          <cell r="C22">
            <v>86.9</v>
          </cell>
          <cell r="D22">
            <v>266.10000000000002</v>
          </cell>
          <cell r="E22">
            <v>3.06</v>
          </cell>
          <cell r="F22">
            <v>67.400000000000006</v>
          </cell>
          <cell r="G22">
            <v>8.5</v>
          </cell>
          <cell r="H22">
            <v>2.4</v>
          </cell>
          <cell r="I22">
            <v>56.5</v>
          </cell>
          <cell r="J22">
            <v>78.900000000000006</v>
          </cell>
          <cell r="K22">
            <v>8.1</v>
          </cell>
          <cell r="L22">
            <v>0.4</v>
          </cell>
          <cell r="M22">
            <v>0.1</v>
          </cell>
          <cell r="N22">
            <v>2.2999999999999998</v>
          </cell>
          <cell r="O22">
            <v>0.6</v>
          </cell>
          <cell r="P22">
            <v>0.3</v>
          </cell>
          <cell r="Q22">
            <v>54.4</v>
          </cell>
          <cell r="R22">
            <v>1.2</v>
          </cell>
          <cell r="S22">
            <v>0</v>
          </cell>
          <cell r="T22">
            <v>0</v>
          </cell>
          <cell r="U22">
            <v>1.4</v>
          </cell>
          <cell r="V22">
            <v>10.1</v>
          </cell>
          <cell r="W22">
            <v>18</v>
          </cell>
          <cell r="X22">
            <v>0</v>
          </cell>
          <cell r="Y22">
            <v>0</v>
          </cell>
          <cell r="Z22">
            <v>0</v>
          </cell>
        </row>
        <row r="23">
          <cell r="A23">
            <v>43022</v>
          </cell>
          <cell r="B23">
            <v>22</v>
          </cell>
          <cell r="C23">
            <v>153</v>
          </cell>
          <cell r="D23">
            <v>250.4</v>
          </cell>
          <cell r="E23">
            <v>1.64</v>
          </cell>
          <cell r="F23">
            <v>54.1</v>
          </cell>
          <cell r="G23">
            <v>27.3</v>
          </cell>
          <cell r="H23">
            <v>3</v>
          </cell>
          <cell r="I23">
            <v>23.8</v>
          </cell>
          <cell r="J23">
            <v>74.7</v>
          </cell>
          <cell r="K23">
            <v>0.2</v>
          </cell>
          <cell r="L23">
            <v>27.1</v>
          </cell>
          <cell r="M23">
            <v>0.1</v>
          </cell>
          <cell r="N23">
            <v>3</v>
          </cell>
          <cell r="O23">
            <v>12</v>
          </cell>
          <cell r="P23">
            <v>2.4</v>
          </cell>
          <cell r="Q23">
            <v>3.3</v>
          </cell>
          <cell r="R23">
            <v>6.1</v>
          </cell>
          <cell r="S23">
            <v>0</v>
          </cell>
          <cell r="T23">
            <v>0</v>
          </cell>
          <cell r="U23">
            <v>2.8</v>
          </cell>
          <cell r="V23">
            <v>17.8</v>
          </cell>
          <cell r="W23">
            <v>26</v>
          </cell>
          <cell r="X23">
            <v>0</v>
          </cell>
          <cell r="Y23">
            <v>0</v>
          </cell>
          <cell r="Z23">
            <v>0</v>
          </cell>
        </row>
        <row r="24">
          <cell r="A24">
            <v>43023</v>
          </cell>
          <cell r="B24">
            <v>23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</row>
        <row r="25">
          <cell r="A25">
            <v>43024</v>
          </cell>
          <cell r="B25">
            <v>24</v>
          </cell>
          <cell r="C25">
            <v>170.9</v>
          </cell>
          <cell r="D25">
            <v>291.5</v>
          </cell>
          <cell r="E25">
            <v>1.71</v>
          </cell>
          <cell r="F25">
            <v>3.5</v>
          </cell>
          <cell r="G25">
            <v>0</v>
          </cell>
          <cell r="H25">
            <v>0</v>
          </cell>
          <cell r="I25">
            <v>3.4</v>
          </cell>
          <cell r="J25">
            <v>33.1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3.4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9.8000000000000007</v>
          </cell>
          <cell r="V25">
            <v>19.8</v>
          </cell>
          <cell r="W25">
            <v>18</v>
          </cell>
          <cell r="X25">
            <v>0</v>
          </cell>
          <cell r="Y25">
            <v>0</v>
          </cell>
          <cell r="Z25">
            <v>0</v>
          </cell>
        </row>
        <row r="26">
          <cell r="A26">
            <v>43025</v>
          </cell>
          <cell r="B26">
            <v>25</v>
          </cell>
          <cell r="C26">
            <v>0</v>
          </cell>
          <cell r="D26">
            <v>0</v>
          </cell>
          <cell r="E26">
            <v>0</v>
          </cell>
          <cell r="F26">
            <v>878.2</v>
          </cell>
          <cell r="G26">
            <v>606.1</v>
          </cell>
          <cell r="H26">
            <v>24.4</v>
          </cell>
          <cell r="I26">
            <v>247.7</v>
          </cell>
          <cell r="J26">
            <v>888</v>
          </cell>
          <cell r="K26">
            <v>561.70000000000005</v>
          </cell>
          <cell r="L26">
            <v>44.4</v>
          </cell>
          <cell r="M26">
            <v>9.9</v>
          </cell>
          <cell r="N26">
            <v>14.5</v>
          </cell>
          <cell r="O26">
            <v>61.2</v>
          </cell>
          <cell r="P26">
            <v>33.1</v>
          </cell>
          <cell r="Q26">
            <v>19.899999999999999</v>
          </cell>
          <cell r="R26">
            <v>133.5</v>
          </cell>
          <cell r="S26">
            <v>0</v>
          </cell>
          <cell r="T26">
            <v>0</v>
          </cell>
          <cell r="U26">
            <v>9.8000000000000007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</row>
        <row r="27">
          <cell r="A27">
            <v>43026</v>
          </cell>
          <cell r="B27">
            <v>26</v>
          </cell>
          <cell r="C27">
            <v>19.600000000000001</v>
          </cell>
          <cell r="D27">
            <v>23.5</v>
          </cell>
          <cell r="E27">
            <v>1.2</v>
          </cell>
          <cell r="F27">
            <v>297.7</v>
          </cell>
          <cell r="G27">
            <v>192.9</v>
          </cell>
          <cell r="H27">
            <v>8.6999999999999993</v>
          </cell>
          <cell r="I27">
            <v>96.2</v>
          </cell>
          <cell r="J27">
            <v>304.2</v>
          </cell>
          <cell r="K27">
            <v>136.80000000000001</v>
          </cell>
          <cell r="L27">
            <v>56.1</v>
          </cell>
          <cell r="M27">
            <v>3.8</v>
          </cell>
          <cell r="N27">
            <v>4.8</v>
          </cell>
          <cell r="O27">
            <v>23.8</v>
          </cell>
          <cell r="P27">
            <v>12.9</v>
          </cell>
          <cell r="Q27">
            <v>7.7</v>
          </cell>
          <cell r="R27">
            <v>51.8</v>
          </cell>
          <cell r="S27">
            <v>0</v>
          </cell>
          <cell r="T27">
            <v>0</v>
          </cell>
          <cell r="U27">
            <v>4.2</v>
          </cell>
          <cell r="V27">
            <v>2.2999999999999998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</row>
        <row r="28">
          <cell r="A28">
            <v>43027</v>
          </cell>
          <cell r="B28">
            <v>27</v>
          </cell>
          <cell r="C28">
            <v>149.9</v>
          </cell>
          <cell r="D28">
            <v>263.7</v>
          </cell>
          <cell r="E28">
            <v>1.76</v>
          </cell>
          <cell r="F28">
            <v>24.7</v>
          </cell>
          <cell r="G28">
            <v>4.7</v>
          </cell>
          <cell r="H28">
            <v>1.4</v>
          </cell>
          <cell r="I28">
            <v>18.7</v>
          </cell>
          <cell r="J28">
            <v>44.9</v>
          </cell>
          <cell r="K28">
            <v>2</v>
          </cell>
          <cell r="L28">
            <v>2.7</v>
          </cell>
          <cell r="M28">
            <v>0.6</v>
          </cell>
          <cell r="N28">
            <v>0.8</v>
          </cell>
          <cell r="O28">
            <v>3.8</v>
          </cell>
          <cell r="P28">
            <v>2</v>
          </cell>
          <cell r="Q28">
            <v>1.2</v>
          </cell>
          <cell r="R28">
            <v>11.6</v>
          </cell>
          <cell r="S28">
            <v>0</v>
          </cell>
          <cell r="T28">
            <v>0</v>
          </cell>
          <cell r="U28">
            <v>2.8</v>
          </cell>
          <cell r="V28">
            <v>17.399999999999999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</row>
        <row r="29">
          <cell r="A29">
            <v>43028</v>
          </cell>
          <cell r="B29">
            <v>28</v>
          </cell>
          <cell r="C29">
            <v>514.5</v>
          </cell>
          <cell r="D29">
            <v>1174.5999999999999</v>
          </cell>
          <cell r="E29">
            <v>2.2799999999999998</v>
          </cell>
          <cell r="F29">
            <v>399.9</v>
          </cell>
          <cell r="G29">
            <v>90.4</v>
          </cell>
          <cell r="H29">
            <v>25.4</v>
          </cell>
          <cell r="I29">
            <v>284.2</v>
          </cell>
          <cell r="J29">
            <v>856.8</v>
          </cell>
          <cell r="K29">
            <v>34.1</v>
          </cell>
          <cell r="L29">
            <v>56.3</v>
          </cell>
          <cell r="M29">
            <v>10.1</v>
          </cell>
          <cell r="N29">
            <v>15.3</v>
          </cell>
          <cell r="O29">
            <v>59.5</v>
          </cell>
          <cell r="P29">
            <v>72</v>
          </cell>
          <cell r="Q29">
            <v>19.600000000000001</v>
          </cell>
          <cell r="R29">
            <v>133.19999999999999</v>
          </cell>
          <cell r="S29">
            <v>0</v>
          </cell>
          <cell r="T29">
            <v>0</v>
          </cell>
          <cell r="U29">
            <v>397</v>
          </cell>
          <cell r="V29">
            <v>59.8</v>
          </cell>
          <cell r="W29">
            <v>0</v>
          </cell>
          <cell r="X29">
            <v>0</v>
          </cell>
          <cell r="Y29">
            <v>0</v>
          </cell>
          <cell r="Z29">
            <v>130</v>
          </cell>
        </row>
        <row r="30">
          <cell r="A30">
            <v>43029</v>
          </cell>
          <cell r="B30">
            <v>29</v>
          </cell>
          <cell r="C30">
            <v>0</v>
          </cell>
          <cell r="D30">
            <v>0</v>
          </cell>
          <cell r="E30">
            <v>0</v>
          </cell>
          <cell r="F30">
            <v>373.4</v>
          </cell>
          <cell r="G30">
            <v>224</v>
          </cell>
          <cell r="H30">
            <v>12.4</v>
          </cell>
          <cell r="I30">
            <v>137.1</v>
          </cell>
          <cell r="J30">
            <v>379</v>
          </cell>
          <cell r="K30">
            <v>176.5</v>
          </cell>
          <cell r="L30">
            <v>47.4</v>
          </cell>
          <cell r="M30">
            <v>5.5</v>
          </cell>
          <cell r="N30">
            <v>6.9</v>
          </cell>
          <cell r="O30">
            <v>33.9</v>
          </cell>
          <cell r="P30">
            <v>18.3</v>
          </cell>
          <cell r="Q30">
            <v>11</v>
          </cell>
          <cell r="R30">
            <v>73.900000000000006</v>
          </cell>
          <cell r="S30">
            <v>0</v>
          </cell>
          <cell r="T30">
            <v>0</v>
          </cell>
          <cell r="U30">
            <v>5.6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81</v>
          </cell>
        </row>
        <row r="31">
          <cell r="A31">
            <v>43030</v>
          </cell>
          <cell r="B31">
            <v>30</v>
          </cell>
          <cell r="C31">
            <v>0</v>
          </cell>
          <cell r="D31">
            <v>0</v>
          </cell>
          <cell r="E31">
            <v>0</v>
          </cell>
          <cell r="F31">
            <v>447.1</v>
          </cell>
          <cell r="G31">
            <v>252.9</v>
          </cell>
          <cell r="H31">
            <v>17.399999999999999</v>
          </cell>
          <cell r="I31">
            <v>176.9</v>
          </cell>
          <cell r="J31">
            <v>451.3</v>
          </cell>
          <cell r="K31">
            <v>86.7</v>
          </cell>
          <cell r="L31">
            <v>166.2</v>
          </cell>
          <cell r="M31">
            <v>5.3</v>
          </cell>
          <cell r="N31">
            <v>12.1</v>
          </cell>
          <cell r="O31">
            <v>32.5</v>
          </cell>
          <cell r="P31">
            <v>17.600000000000001</v>
          </cell>
          <cell r="Q31">
            <v>16.100000000000001</v>
          </cell>
          <cell r="R31">
            <v>110.6</v>
          </cell>
          <cell r="S31">
            <v>0</v>
          </cell>
          <cell r="T31">
            <v>0</v>
          </cell>
          <cell r="U31">
            <v>4.2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105</v>
          </cell>
        </row>
        <row r="32">
          <cell r="A32">
            <v>43031</v>
          </cell>
          <cell r="B32">
            <v>31</v>
          </cell>
          <cell r="C32">
            <v>0</v>
          </cell>
          <cell r="D32">
            <v>0</v>
          </cell>
          <cell r="E32">
            <v>0</v>
          </cell>
          <cell r="F32">
            <v>423.4</v>
          </cell>
          <cell r="G32">
            <v>56.4</v>
          </cell>
          <cell r="H32">
            <v>22.8</v>
          </cell>
          <cell r="I32">
            <v>344.2</v>
          </cell>
          <cell r="J32">
            <v>423.4</v>
          </cell>
          <cell r="K32">
            <v>2</v>
          </cell>
          <cell r="L32">
            <v>54.3</v>
          </cell>
          <cell r="M32">
            <v>0.6</v>
          </cell>
          <cell r="N32">
            <v>22.2</v>
          </cell>
          <cell r="O32">
            <v>137.5</v>
          </cell>
          <cell r="P32">
            <v>2.1</v>
          </cell>
          <cell r="Q32">
            <v>31.5</v>
          </cell>
          <cell r="R32">
            <v>173.2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</row>
        <row r="33">
          <cell r="A33">
            <v>43032</v>
          </cell>
          <cell r="B33">
            <v>32</v>
          </cell>
          <cell r="C33">
            <v>0</v>
          </cell>
          <cell r="D33">
            <v>0</v>
          </cell>
          <cell r="E33">
            <v>0</v>
          </cell>
          <cell r="F33">
            <v>1269.9000000000001</v>
          </cell>
          <cell r="G33">
            <v>133.6</v>
          </cell>
          <cell r="H33">
            <v>3.1</v>
          </cell>
          <cell r="I33">
            <v>1133.2</v>
          </cell>
          <cell r="J33">
            <v>1271.3</v>
          </cell>
          <cell r="K33">
            <v>17.7</v>
          </cell>
          <cell r="L33">
            <v>115.9</v>
          </cell>
          <cell r="M33">
            <v>1.4</v>
          </cell>
          <cell r="N33">
            <v>1.7</v>
          </cell>
          <cell r="O33">
            <v>210.2</v>
          </cell>
          <cell r="P33">
            <v>4.5999999999999996</v>
          </cell>
          <cell r="Q33">
            <v>257.5</v>
          </cell>
          <cell r="R33">
            <v>661</v>
          </cell>
          <cell r="S33">
            <v>0</v>
          </cell>
          <cell r="T33">
            <v>0</v>
          </cell>
          <cell r="U33">
            <v>1.4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</row>
        <row r="34">
          <cell r="A34">
            <v>43033</v>
          </cell>
          <cell r="B34">
            <v>33</v>
          </cell>
          <cell r="C34">
            <v>78.2</v>
          </cell>
          <cell r="D34">
            <v>206.3</v>
          </cell>
          <cell r="E34">
            <v>2.64</v>
          </cell>
          <cell r="F34">
            <v>1566.7</v>
          </cell>
          <cell r="G34">
            <v>569.9</v>
          </cell>
          <cell r="H34">
            <v>245</v>
          </cell>
          <cell r="I34">
            <v>751.8</v>
          </cell>
          <cell r="J34">
            <v>1610.8</v>
          </cell>
          <cell r="K34">
            <v>267.60000000000002</v>
          </cell>
          <cell r="L34">
            <v>302.3</v>
          </cell>
          <cell r="M34">
            <v>172.9</v>
          </cell>
          <cell r="N34">
            <v>72.2</v>
          </cell>
          <cell r="O34">
            <v>349.4</v>
          </cell>
          <cell r="P34">
            <v>61</v>
          </cell>
          <cell r="Q34">
            <v>49.8</v>
          </cell>
          <cell r="R34">
            <v>291.5</v>
          </cell>
          <cell r="S34">
            <v>0</v>
          </cell>
          <cell r="T34">
            <v>0</v>
          </cell>
          <cell r="U34">
            <v>34.9</v>
          </cell>
          <cell r="V34">
            <v>9.1</v>
          </cell>
          <cell r="W34">
            <v>0</v>
          </cell>
          <cell r="X34">
            <v>0</v>
          </cell>
          <cell r="Y34">
            <v>97</v>
          </cell>
          <cell r="Z34">
            <v>198</v>
          </cell>
        </row>
        <row r="35">
          <cell r="A35">
            <v>43034</v>
          </cell>
          <cell r="B35">
            <v>34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</row>
        <row r="36">
          <cell r="A36">
            <v>43035</v>
          </cell>
          <cell r="B36">
            <v>35</v>
          </cell>
          <cell r="C36">
            <v>158</v>
          </cell>
          <cell r="D36">
            <v>282.7</v>
          </cell>
          <cell r="E36">
            <v>1.79</v>
          </cell>
          <cell r="F36">
            <v>79.2</v>
          </cell>
          <cell r="G36">
            <v>0.8</v>
          </cell>
          <cell r="H36">
            <v>3.2</v>
          </cell>
          <cell r="I36">
            <v>75.099999999999994</v>
          </cell>
          <cell r="J36">
            <v>99</v>
          </cell>
          <cell r="K36">
            <v>0.3</v>
          </cell>
          <cell r="L36">
            <v>0.5</v>
          </cell>
          <cell r="M36">
            <v>0.1</v>
          </cell>
          <cell r="N36">
            <v>3.1</v>
          </cell>
          <cell r="O36">
            <v>46.4</v>
          </cell>
          <cell r="P36">
            <v>0.3</v>
          </cell>
          <cell r="Q36">
            <v>0.6</v>
          </cell>
          <cell r="R36">
            <v>27.7</v>
          </cell>
          <cell r="S36">
            <v>0</v>
          </cell>
          <cell r="T36">
            <v>0</v>
          </cell>
          <cell r="U36">
            <v>1.4</v>
          </cell>
          <cell r="V36">
            <v>18.399999999999999</v>
          </cell>
          <cell r="W36">
            <v>0</v>
          </cell>
          <cell r="X36">
            <v>0</v>
          </cell>
          <cell r="Y36">
            <v>272</v>
          </cell>
          <cell r="Z36">
            <v>0</v>
          </cell>
        </row>
        <row r="37">
          <cell r="A37">
            <v>43036</v>
          </cell>
          <cell r="B37">
            <v>36</v>
          </cell>
          <cell r="C37">
            <v>184.6</v>
          </cell>
          <cell r="D37">
            <v>253.5</v>
          </cell>
          <cell r="E37">
            <v>1.37</v>
          </cell>
          <cell r="F37">
            <v>1290.5</v>
          </cell>
          <cell r="G37">
            <v>641.70000000000005</v>
          </cell>
          <cell r="H37">
            <v>11.7</v>
          </cell>
          <cell r="I37">
            <v>637.1</v>
          </cell>
          <cell r="J37">
            <v>1327.3</v>
          </cell>
          <cell r="K37">
            <v>408.9</v>
          </cell>
          <cell r="L37">
            <v>232.8</v>
          </cell>
          <cell r="M37">
            <v>5.2</v>
          </cell>
          <cell r="N37">
            <v>6.5</v>
          </cell>
          <cell r="O37">
            <v>205.3</v>
          </cell>
          <cell r="P37">
            <v>17.399999999999999</v>
          </cell>
          <cell r="Q37">
            <v>13.1</v>
          </cell>
          <cell r="R37">
            <v>401.3</v>
          </cell>
          <cell r="S37">
            <v>0</v>
          </cell>
          <cell r="T37">
            <v>0</v>
          </cell>
          <cell r="U37">
            <v>15.4</v>
          </cell>
          <cell r="V37">
            <v>21.4</v>
          </cell>
          <cell r="W37">
            <v>0</v>
          </cell>
          <cell r="X37">
            <v>0</v>
          </cell>
          <cell r="Y37">
            <v>217</v>
          </cell>
          <cell r="Z37">
            <v>0</v>
          </cell>
        </row>
        <row r="38">
          <cell r="A38">
            <v>43037</v>
          </cell>
          <cell r="B38">
            <v>37</v>
          </cell>
          <cell r="C38">
            <v>0</v>
          </cell>
          <cell r="D38">
            <v>0</v>
          </cell>
          <cell r="E38">
            <v>0</v>
          </cell>
          <cell r="F38">
            <v>14.2</v>
          </cell>
          <cell r="G38">
            <v>0.1</v>
          </cell>
          <cell r="H38">
            <v>0</v>
          </cell>
          <cell r="I38">
            <v>14.1</v>
          </cell>
          <cell r="J38">
            <v>14.2</v>
          </cell>
          <cell r="K38">
            <v>0</v>
          </cell>
          <cell r="L38">
            <v>0.1</v>
          </cell>
          <cell r="M38">
            <v>0</v>
          </cell>
          <cell r="N38">
            <v>0</v>
          </cell>
          <cell r="O38">
            <v>0.1</v>
          </cell>
          <cell r="P38">
            <v>0</v>
          </cell>
          <cell r="Q38">
            <v>13.7</v>
          </cell>
          <cell r="R38">
            <v>0.2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</row>
        <row r="39">
          <cell r="A39">
            <v>43038</v>
          </cell>
          <cell r="B39">
            <v>38</v>
          </cell>
          <cell r="C39">
            <v>8.6999999999999993</v>
          </cell>
          <cell r="D39">
            <v>24.5</v>
          </cell>
          <cell r="E39">
            <v>2.8</v>
          </cell>
          <cell r="F39">
            <v>3.7</v>
          </cell>
          <cell r="G39">
            <v>0</v>
          </cell>
          <cell r="H39">
            <v>0</v>
          </cell>
          <cell r="I39">
            <v>3.7</v>
          </cell>
          <cell r="J39">
            <v>4.7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3.6</v>
          </cell>
          <cell r="S39">
            <v>0</v>
          </cell>
          <cell r="T39">
            <v>0</v>
          </cell>
          <cell r="U39">
            <v>0</v>
          </cell>
          <cell r="V39">
            <v>1</v>
          </cell>
          <cell r="W39">
            <v>4</v>
          </cell>
          <cell r="X39">
            <v>0</v>
          </cell>
          <cell r="Y39">
            <v>0</v>
          </cell>
          <cell r="Z39">
            <v>0</v>
          </cell>
        </row>
        <row r="40">
          <cell r="A40">
            <v>43039</v>
          </cell>
          <cell r="B40">
            <v>39</v>
          </cell>
          <cell r="C40">
            <v>0</v>
          </cell>
          <cell r="D40">
            <v>0</v>
          </cell>
          <cell r="E40">
            <v>0</v>
          </cell>
          <cell r="F40">
            <v>575.29999999999995</v>
          </cell>
          <cell r="G40">
            <v>25.4</v>
          </cell>
          <cell r="H40">
            <v>7.3</v>
          </cell>
          <cell r="I40">
            <v>542.6</v>
          </cell>
          <cell r="J40">
            <v>578.1</v>
          </cell>
          <cell r="K40">
            <v>10.9</v>
          </cell>
          <cell r="L40">
            <v>14.6</v>
          </cell>
          <cell r="M40">
            <v>3.2</v>
          </cell>
          <cell r="N40">
            <v>4.0999999999999996</v>
          </cell>
          <cell r="O40">
            <v>20.100000000000001</v>
          </cell>
          <cell r="P40">
            <v>103.2</v>
          </cell>
          <cell r="Q40">
            <v>6.5</v>
          </cell>
          <cell r="R40">
            <v>412.8</v>
          </cell>
          <cell r="S40">
            <v>0</v>
          </cell>
          <cell r="T40">
            <v>0</v>
          </cell>
          <cell r="U40">
            <v>2.8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</row>
        <row r="41">
          <cell r="A41">
            <v>43040</v>
          </cell>
          <cell r="B41">
            <v>40</v>
          </cell>
          <cell r="C41">
            <v>245.7</v>
          </cell>
          <cell r="D41">
            <v>593.29999999999995</v>
          </cell>
          <cell r="E41">
            <v>2.41</v>
          </cell>
          <cell r="F41">
            <v>435.4</v>
          </cell>
          <cell r="G41">
            <v>43.5</v>
          </cell>
          <cell r="H41">
            <v>5</v>
          </cell>
          <cell r="I41">
            <v>386.9</v>
          </cell>
          <cell r="J41">
            <v>510</v>
          </cell>
          <cell r="K41">
            <v>24.8</v>
          </cell>
          <cell r="L41">
            <v>18.7</v>
          </cell>
          <cell r="M41">
            <v>0.6</v>
          </cell>
          <cell r="N41">
            <v>4.3</v>
          </cell>
          <cell r="O41">
            <v>76.400000000000006</v>
          </cell>
          <cell r="P41">
            <v>2.1</v>
          </cell>
          <cell r="Q41">
            <v>70.900000000000006</v>
          </cell>
          <cell r="R41">
            <v>237.4</v>
          </cell>
          <cell r="S41">
            <v>0</v>
          </cell>
          <cell r="T41">
            <v>0</v>
          </cell>
          <cell r="U41">
            <v>46.1</v>
          </cell>
          <cell r="V41">
            <v>28.5</v>
          </cell>
          <cell r="W41">
            <v>109</v>
          </cell>
          <cell r="X41">
            <v>0</v>
          </cell>
          <cell r="Y41">
            <v>123</v>
          </cell>
          <cell r="Z41">
            <v>0</v>
          </cell>
        </row>
        <row r="42">
          <cell r="A42">
            <v>43041</v>
          </cell>
          <cell r="B42">
            <v>41</v>
          </cell>
          <cell r="C42">
            <v>564.29999999999995</v>
          </cell>
          <cell r="D42">
            <v>1388.3</v>
          </cell>
          <cell r="E42">
            <v>2.46</v>
          </cell>
          <cell r="F42">
            <v>1028</v>
          </cell>
          <cell r="G42">
            <v>25.5</v>
          </cell>
          <cell r="H42">
            <v>88</v>
          </cell>
          <cell r="I42">
            <v>914.5</v>
          </cell>
          <cell r="J42">
            <v>1131.4000000000001</v>
          </cell>
          <cell r="K42">
            <v>20.7</v>
          </cell>
          <cell r="L42">
            <v>4.9000000000000004</v>
          </cell>
          <cell r="M42">
            <v>1.1000000000000001</v>
          </cell>
          <cell r="N42">
            <v>86.9</v>
          </cell>
          <cell r="O42">
            <v>205.2</v>
          </cell>
          <cell r="P42">
            <v>305.7</v>
          </cell>
          <cell r="Q42">
            <v>30.4</v>
          </cell>
          <cell r="R42">
            <v>373.2</v>
          </cell>
          <cell r="S42">
            <v>0</v>
          </cell>
          <cell r="T42">
            <v>0</v>
          </cell>
          <cell r="U42">
            <v>37.700000000000003</v>
          </cell>
          <cell r="V42">
            <v>65.599999999999994</v>
          </cell>
          <cell r="W42">
            <v>100</v>
          </cell>
          <cell r="X42">
            <v>0</v>
          </cell>
          <cell r="Y42">
            <v>0</v>
          </cell>
          <cell r="Z42">
            <v>0</v>
          </cell>
        </row>
        <row r="43">
          <cell r="A43">
            <v>43042</v>
          </cell>
          <cell r="B43">
            <v>42</v>
          </cell>
          <cell r="C43">
            <v>108.1</v>
          </cell>
          <cell r="D43">
            <v>298.7</v>
          </cell>
          <cell r="E43">
            <v>2.76</v>
          </cell>
          <cell r="F43">
            <v>21.4</v>
          </cell>
          <cell r="G43">
            <v>1.7</v>
          </cell>
          <cell r="H43">
            <v>1.8</v>
          </cell>
          <cell r="I43">
            <v>18</v>
          </cell>
          <cell r="J43">
            <v>34</v>
          </cell>
          <cell r="K43">
            <v>1.5</v>
          </cell>
          <cell r="L43">
            <v>0.1</v>
          </cell>
          <cell r="M43">
            <v>0</v>
          </cell>
          <cell r="N43">
            <v>1.8</v>
          </cell>
          <cell r="O43">
            <v>6.5</v>
          </cell>
          <cell r="P43">
            <v>1.1000000000000001</v>
          </cell>
          <cell r="Q43">
            <v>0.1</v>
          </cell>
          <cell r="R43">
            <v>10.3</v>
          </cell>
          <cell r="S43">
            <v>0</v>
          </cell>
          <cell r="T43">
            <v>0</v>
          </cell>
          <cell r="U43">
            <v>0</v>
          </cell>
          <cell r="V43">
            <v>12.6</v>
          </cell>
          <cell r="W43">
            <v>17</v>
          </cell>
          <cell r="X43">
            <v>0</v>
          </cell>
          <cell r="Y43">
            <v>0</v>
          </cell>
          <cell r="Z43">
            <v>0</v>
          </cell>
        </row>
        <row r="44">
          <cell r="A44">
            <v>43043</v>
          </cell>
          <cell r="B44">
            <v>43</v>
          </cell>
          <cell r="C44">
            <v>14.6</v>
          </cell>
          <cell r="D44">
            <v>38.299999999999997</v>
          </cell>
          <cell r="E44">
            <v>2.62</v>
          </cell>
          <cell r="F44">
            <v>3.7</v>
          </cell>
          <cell r="G44">
            <v>0.1</v>
          </cell>
          <cell r="H44">
            <v>0</v>
          </cell>
          <cell r="I44">
            <v>3.6</v>
          </cell>
          <cell r="J44">
            <v>5.4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3.4</v>
          </cell>
          <cell r="P44">
            <v>0</v>
          </cell>
          <cell r="Q44">
            <v>0</v>
          </cell>
          <cell r="R44">
            <v>0.1</v>
          </cell>
          <cell r="S44">
            <v>0</v>
          </cell>
          <cell r="T44">
            <v>0</v>
          </cell>
          <cell r="U44">
            <v>0</v>
          </cell>
          <cell r="V44">
            <v>1.7</v>
          </cell>
          <cell r="W44">
            <v>6</v>
          </cell>
          <cell r="X44">
            <v>0</v>
          </cell>
          <cell r="Y44">
            <v>0</v>
          </cell>
          <cell r="Z44">
            <v>0</v>
          </cell>
        </row>
        <row r="45">
          <cell r="A45">
            <v>43044</v>
          </cell>
          <cell r="B45">
            <v>44</v>
          </cell>
          <cell r="C45">
            <v>168.3</v>
          </cell>
          <cell r="D45">
            <v>492.3</v>
          </cell>
          <cell r="E45">
            <v>2.93</v>
          </cell>
          <cell r="F45">
            <v>9.1</v>
          </cell>
          <cell r="G45">
            <v>0.1</v>
          </cell>
          <cell r="H45">
            <v>1.8</v>
          </cell>
          <cell r="I45">
            <v>7.2</v>
          </cell>
          <cell r="J45">
            <v>44</v>
          </cell>
          <cell r="K45">
            <v>0</v>
          </cell>
          <cell r="L45">
            <v>0</v>
          </cell>
          <cell r="M45">
            <v>0</v>
          </cell>
          <cell r="N45">
            <v>1.8</v>
          </cell>
          <cell r="O45">
            <v>2.1</v>
          </cell>
          <cell r="P45">
            <v>0</v>
          </cell>
          <cell r="Q45">
            <v>0</v>
          </cell>
          <cell r="R45">
            <v>5.0999999999999996</v>
          </cell>
          <cell r="S45">
            <v>0</v>
          </cell>
          <cell r="T45">
            <v>0</v>
          </cell>
          <cell r="U45">
            <v>15.4</v>
          </cell>
          <cell r="V45">
            <v>19.5</v>
          </cell>
          <cell r="W45">
            <v>15</v>
          </cell>
          <cell r="X45">
            <v>0</v>
          </cell>
          <cell r="Y45">
            <v>0</v>
          </cell>
          <cell r="Z45">
            <v>0</v>
          </cell>
        </row>
        <row r="46">
          <cell r="A46">
            <v>43045</v>
          </cell>
          <cell r="B46">
            <v>45</v>
          </cell>
          <cell r="C46">
            <v>59</v>
          </cell>
          <cell r="D46">
            <v>203.4</v>
          </cell>
          <cell r="E46">
            <v>3.45</v>
          </cell>
          <cell r="F46">
            <v>11.3</v>
          </cell>
          <cell r="G46">
            <v>4.5</v>
          </cell>
          <cell r="H46">
            <v>0.1</v>
          </cell>
          <cell r="I46">
            <v>6.7</v>
          </cell>
          <cell r="J46">
            <v>18.2</v>
          </cell>
          <cell r="K46">
            <v>4.4000000000000004</v>
          </cell>
          <cell r="L46">
            <v>0.1</v>
          </cell>
          <cell r="M46">
            <v>0</v>
          </cell>
          <cell r="N46">
            <v>0</v>
          </cell>
          <cell r="O46">
            <v>0.2</v>
          </cell>
          <cell r="P46">
            <v>0.1</v>
          </cell>
          <cell r="Q46">
            <v>1.1000000000000001</v>
          </cell>
          <cell r="R46">
            <v>5.4</v>
          </cell>
          <cell r="S46">
            <v>0</v>
          </cell>
          <cell r="T46">
            <v>0</v>
          </cell>
          <cell r="U46">
            <v>0</v>
          </cell>
          <cell r="V46">
            <v>6.9</v>
          </cell>
          <cell r="W46">
            <v>10</v>
          </cell>
          <cell r="X46">
            <v>0</v>
          </cell>
          <cell r="Y46">
            <v>0</v>
          </cell>
          <cell r="Z46">
            <v>0</v>
          </cell>
        </row>
        <row r="47">
          <cell r="A47">
            <v>43046</v>
          </cell>
          <cell r="B47">
            <v>46</v>
          </cell>
          <cell r="C47">
            <v>8</v>
          </cell>
          <cell r="D47">
            <v>16.399999999999999</v>
          </cell>
          <cell r="E47">
            <v>2.04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0.9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0.9</v>
          </cell>
          <cell r="W47">
            <v>5</v>
          </cell>
          <cell r="X47">
            <v>0</v>
          </cell>
          <cell r="Y47">
            <v>0</v>
          </cell>
          <cell r="Z47">
            <v>0</v>
          </cell>
        </row>
        <row r="48">
          <cell r="A48">
            <v>43047</v>
          </cell>
          <cell r="B48">
            <v>47</v>
          </cell>
          <cell r="C48">
            <v>24.3</v>
          </cell>
          <cell r="D48">
            <v>70.5</v>
          </cell>
          <cell r="E48">
            <v>2.89</v>
          </cell>
          <cell r="F48">
            <v>6.1</v>
          </cell>
          <cell r="G48">
            <v>0.7</v>
          </cell>
          <cell r="H48">
            <v>0</v>
          </cell>
          <cell r="I48">
            <v>5.4</v>
          </cell>
          <cell r="J48">
            <v>8.9</v>
          </cell>
          <cell r="K48">
            <v>0.6</v>
          </cell>
          <cell r="L48">
            <v>0</v>
          </cell>
          <cell r="M48">
            <v>0</v>
          </cell>
          <cell r="N48">
            <v>0</v>
          </cell>
          <cell r="O48">
            <v>5.3</v>
          </cell>
          <cell r="P48">
            <v>0</v>
          </cell>
          <cell r="Q48">
            <v>0</v>
          </cell>
          <cell r="R48">
            <v>0.1</v>
          </cell>
          <cell r="S48">
            <v>0</v>
          </cell>
          <cell r="T48">
            <v>0</v>
          </cell>
          <cell r="U48">
            <v>0</v>
          </cell>
          <cell r="V48">
            <v>2.8</v>
          </cell>
          <cell r="W48">
            <v>7</v>
          </cell>
          <cell r="X48">
            <v>0</v>
          </cell>
          <cell r="Y48">
            <v>0</v>
          </cell>
          <cell r="Z48">
            <v>0</v>
          </cell>
        </row>
        <row r="49">
          <cell r="A49">
            <v>43048</v>
          </cell>
          <cell r="B49">
            <v>48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</row>
        <row r="50">
          <cell r="A50">
            <v>43049</v>
          </cell>
          <cell r="B50">
            <v>49</v>
          </cell>
          <cell r="C50">
            <v>97.2</v>
          </cell>
          <cell r="D50">
            <v>167.3</v>
          </cell>
          <cell r="E50">
            <v>1.72</v>
          </cell>
          <cell r="F50">
            <v>575.1</v>
          </cell>
          <cell r="G50">
            <v>284.10000000000002</v>
          </cell>
          <cell r="H50">
            <v>5.4</v>
          </cell>
          <cell r="I50">
            <v>285.5</v>
          </cell>
          <cell r="J50">
            <v>590.6</v>
          </cell>
          <cell r="K50">
            <v>7.3</v>
          </cell>
          <cell r="L50">
            <v>276.8</v>
          </cell>
          <cell r="M50">
            <v>2.2999999999999998</v>
          </cell>
          <cell r="N50">
            <v>3.1</v>
          </cell>
          <cell r="O50">
            <v>15.1</v>
          </cell>
          <cell r="P50">
            <v>7.8</v>
          </cell>
          <cell r="Q50">
            <v>4.8</v>
          </cell>
          <cell r="R50">
            <v>257.89999999999998</v>
          </cell>
          <cell r="S50">
            <v>0</v>
          </cell>
          <cell r="T50">
            <v>0</v>
          </cell>
          <cell r="U50">
            <v>4.2</v>
          </cell>
          <cell r="V50">
            <v>11.3</v>
          </cell>
          <cell r="W50">
            <v>0</v>
          </cell>
          <cell r="X50">
            <v>0</v>
          </cell>
          <cell r="Y50">
            <v>156</v>
          </cell>
          <cell r="Z50">
            <v>588</v>
          </cell>
        </row>
        <row r="51">
          <cell r="A51">
            <v>43050</v>
          </cell>
          <cell r="B51">
            <v>50</v>
          </cell>
          <cell r="C51">
            <v>19.899999999999999</v>
          </cell>
          <cell r="D51">
            <v>87.6</v>
          </cell>
          <cell r="E51">
            <v>4.41</v>
          </cell>
          <cell r="F51">
            <v>80.3</v>
          </cell>
          <cell r="G51">
            <v>77.900000000000006</v>
          </cell>
          <cell r="H51">
            <v>0.2</v>
          </cell>
          <cell r="I51">
            <v>2.2000000000000002</v>
          </cell>
          <cell r="J51">
            <v>89.6</v>
          </cell>
          <cell r="K51">
            <v>77.5</v>
          </cell>
          <cell r="L51">
            <v>0.4</v>
          </cell>
          <cell r="M51">
            <v>0.1</v>
          </cell>
          <cell r="N51">
            <v>0.1</v>
          </cell>
          <cell r="O51">
            <v>0.6</v>
          </cell>
          <cell r="P51">
            <v>0.3</v>
          </cell>
          <cell r="Q51">
            <v>0.2</v>
          </cell>
          <cell r="R51">
            <v>1.2</v>
          </cell>
          <cell r="S51">
            <v>0</v>
          </cell>
          <cell r="T51">
            <v>0</v>
          </cell>
          <cell r="U51">
            <v>7</v>
          </cell>
          <cell r="V51">
            <v>2.2999999999999998</v>
          </cell>
          <cell r="W51">
            <v>6</v>
          </cell>
          <cell r="X51">
            <v>0</v>
          </cell>
          <cell r="Y51">
            <v>0</v>
          </cell>
          <cell r="Z51">
            <v>0</v>
          </cell>
        </row>
        <row r="52">
          <cell r="A52">
            <v>43051</v>
          </cell>
          <cell r="B52">
            <v>51</v>
          </cell>
          <cell r="C52">
            <v>20.100000000000001</v>
          </cell>
          <cell r="D52">
            <v>49.5</v>
          </cell>
          <cell r="E52">
            <v>2.46</v>
          </cell>
          <cell r="F52">
            <v>3.5</v>
          </cell>
          <cell r="G52">
            <v>0</v>
          </cell>
          <cell r="H52">
            <v>0</v>
          </cell>
          <cell r="I52">
            <v>3.4</v>
          </cell>
          <cell r="J52">
            <v>11.4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3.4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5.6</v>
          </cell>
          <cell r="V52">
            <v>2.2999999999999998</v>
          </cell>
          <cell r="W52">
            <v>4</v>
          </cell>
          <cell r="X52">
            <v>0</v>
          </cell>
          <cell r="Y52">
            <v>0</v>
          </cell>
          <cell r="Z52">
            <v>0</v>
          </cell>
        </row>
        <row r="53">
          <cell r="A53">
            <v>43052</v>
          </cell>
          <cell r="B53">
            <v>52</v>
          </cell>
          <cell r="C53">
            <v>29.9</v>
          </cell>
          <cell r="D53">
            <v>80.3</v>
          </cell>
          <cell r="E53">
            <v>2.69</v>
          </cell>
          <cell r="F53">
            <v>1.8</v>
          </cell>
          <cell r="G53">
            <v>0</v>
          </cell>
          <cell r="H53">
            <v>0</v>
          </cell>
          <cell r="I53">
            <v>1.8</v>
          </cell>
          <cell r="J53">
            <v>5.3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1.8</v>
          </cell>
          <cell r="S53">
            <v>0</v>
          </cell>
          <cell r="T53">
            <v>0</v>
          </cell>
          <cell r="U53">
            <v>0</v>
          </cell>
          <cell r="V53">
            <v>3.5</v>
          </cell>
          <cell r="W53">
            <v>9</v>
          </cell>
          <cell r="X53">
            <v>0</v>
          </cell>
          <cell r="Y53">
            <v>0</v>
          </cell>
          <cell r="Z53">
            <v>0</v>
          </cell>
        </row>
        <row r="54">
          <cell r="A54">
            <v>43053</v>
          </cell>
          <cell r="B54">
            <v>53</v>
          </cell>
          <cell r="C54">
            <v>2.7</v>
          </cell>
          <cell r="D54">
            <v>6.1</v>
          </cell>
          <cell r="E54">
            <v>2.2799999999999998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3.1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2.8</v>
          </cell>
          <cell r="V54">
            <v>0.3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</row>
        <row r="55">
          <cell r="A55">
            <v>43054</v>
          </cell>
          <cell r="B55">
            <v>54</v>
          </cell>
          <cell r="C55">
            <v>13.6</v>
          </cell>
          <cell r="D55">
            <v>32.299999999999997</v>
          </cell>
          <cell r="E55">
            <v>2.38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3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1.4</v>
          </cell>
          <cell r="V55">
            <v>1.6</v>
          </cell>
          <cell r="W55">
            <v>5</v>
          </cell>
          <cell r="X55">
            <v>0</v>
          </cell>
          <cell r="Y55">
            <v>0</v>
          </cell>
          <cell r="Z55">
            <v>0</v>
          </cell>
        </row>
        <row r="56">
          <cell r="A56">
            <v>43055</v>
          </cell>
          <cell r="B56">
            <v>55</v>
          </cell>
          <cell r="C56">
            <v>58.2</v>
          </cell>
          <cell r="D56">
            <v>69.8</v>
          </cell>
          <cell r="E56">
            <v>1.2</v>
          </cell>
          <cell r="F56">
            <v>3106.3</v>
          </cell>
          <cell r="G56">
            <v>1148.3</v>
          </cell>
          <cell r="H56">
            <v>126.8</v>
          </cell>
          <cell r="I56">
            <v>1831.2</v>
          </cell>
          <cell r="J56">
            <v>3120.1</v>
          </cell>
          <cell r="K56">
            <v>553.4</v>
          </cell>
          <cell r="L56">
            <v>594.9</v>
          </cell>
          <cell r="M56">
            <v>55.5</v>
          </cell>
          <cell r="N56">
            <v>71.3</v>
          </cell>
          <cell r="O56">
            <v>342.2</v>
          </cell>
          <cell r="P56">
            <v>188.3</v>
          </cell>
          <cell r="Q56">
            <v>111.3</v>
          </cell>
          <cell r="R56">
            <v>1189.5</v>
          </cell>
          <cell r="S56">
            <v>0</v>
          </cell>
          <cell r="T56">
            <v>0</v>
          </cell>
          <cell r="U56">
            <v>7</v>
          </cell>
          <cell r="V56">
            <v>6.8</v>
          </cell>
          <cell r="W56">
            <v>29</v>
          </cell>
          <cell r="X56">
            <v>0</v>
          </cell>
          <cell r="Y56">
            <v>91</v>
          </cell>
          <cell r="Z56">
            <v>1180</v>
          </cell>
        </row>
        <row r="57">
          <cell r="A57">
            <v>43056</v>
          </cell>
          <cell r="B57">
            <v>56</v>
          </cell>
          <cell r="C57">
            <v>34.4</v>
          </cell>
          <cell r="D57">
            <v>54</v>
          </cell>
          <cell r="E57">
            <v>1.57</v>
          </cell>
          <cell r="F57">
            <v>1.8</v>
          </cell>
          <cell r="G57">
            <v>0</v>
          </cell>
          <cell r="H57">
            <v>0</v>
          </cell>
          <cell r="I57">
            <v>1.8</v>
          </cell>
          <cell r="J57">
            <v>15.6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1.8</v>
          </cell>
          <cell r="S57">
            <v>0</v>
          </cell>
          <cell r="T57">
            <v>0</v>
          </cell>
          <cell r="U57">
            <v>9.8000000000000007</v>
          </cell>
          <cell r="V57">
            <v>4</v>
          </cell>
          <cell r="W57">
            <v>1</v>
          </cell>
          <cell r="X57">
            <v>0</v>
          </cell>
          <cell r="Y57">
            <v>61</v>
          </cell>
          <cell r="Z57">
            <v>0</v>
          </cell>
        </row>
        <row r="58">
          <cell r="A58">
            <v>43057</v>
          </cell>
          <cell r="B58">
            <v>57</v>
          </cell>
          <cell r="C58">
            <v>18.899999999999999</v>
          </cell>
          <cell r="D58">
            <v>99.5</v>
          </cell>
          <cell r="E58">
            <v>5.27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9.1999999999999993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7</v>
          </cell>
          <cell r="V58">
            <v>2.2000000000000002</v>
          </cell>
          <cell r="W58">
            <v>0</v>
          </cell>
          <cell r="X58">
            <v>0</v>
          </cell>
          <cell r="Y58">
            <v>33</v>
          </cell>
          <cell r="Z58">
            <v>0</v>
          </cell>
        </row>
        <row r="59">
          <cell r="A59">
            <v>43058</v>
          </cell>
          <cell r="B59">
            <v>58</v>
          </cell>
          <cell r="C59">
            <v>59.8</v>
          </cell>
          <cell r="D59">
            <v>130</v>
          </cell>
          <cell r="E59">
            <v>2.17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26.5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19.600000000000001</v>
          </cell>
          <cell r="V59">
            <v>6.9</v>
          </cell>
          <cell r="W59">
            <v>0</v>
          </cell>
          <cell r="X59">
            <v>0</v>
          </cell>
          <cell r="Y59">
            <v>158</v>
          </cell>
          <cell r="Z59">
            <v>0</v>
          </cell>
        </row>
        <row r="60">
          <cell r="A60">
            <v>43059</v>
          </cell>
          <cell r="B60">
            <v>59</v>
          </cell>
          <cell r="C60">
            <v>188.7</v>
          </cell>
          <cell r="D60">
            <v>434.2</v>
          </cell>
          <cell r="E60">
            <v>2.2999999999999998</v>
          </cell>
          <cell r="F60">
            <v>444</v>
          </cell>
          <cell r="G60">
            <v>97.1</v>
          </cell>
          <cell r="H60">
            <v>28.1</v>
          </cell>
          <cell r="I60">
            <v>318.8</v>
          </cell>
          <cell r="J60">
            <v>519</v>
          </cell>
          <cell r="K60">
            <v>41.7</v>
          </cell>
          <cell r="L60">
            <v>55.4</v>
          </cell>
          <cell r="M60">
            <v>12.4</v>
          </cell>
          <cell r="N60">
            <v>15.7</v>
          </cell>
          <cell r="O60">
            <v>82.7</v>
          </cell>
          <cell r="P60">
            <v>41.9</v>
          </cell>
          <cell r="Q60">
            <v>26.6</v>
          </cell>
          <cell r="R60">
            <v>167.6</v>
          </cell>
          <cell r="S60">
            <v>0</v>
          </cell>
          <cell r="T60">
            <v>0</v>
          </cell>
          <cell r="U60">
            <v>53.1</v>
          </cell>
          <cell r="V60">
            <v>21.9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</row>
        <row r="61">
          <cell r="A61">
            <v>43060</v>
          </cell>
          <cell r="B61">
            <v>60</v>
          </cell>
          <cell r="C61">
            <v>88.6</v>
          </cell>
          <cell r="D61">
            <v>222.7</v>
          </cell>
          <cell r="E61">
            <v>2.5099999999999998</v>
          </cell>
          <cell r="F61">
            <v>30.9</v>
          </cell>
          <cell r="G61">
            <v>0.3</v>
          </cell>
          <cell r="H61">
            <v>1.1000000000000001</v>
          </cell>
          <cell r="I61">
            <v>29.5</v>
          </cell>
          <cell r="J61">
            <v>59.4</v>
          </cell>
          <cell r="K61">
            <v>0.1</v>
          </cell>
          <cell r="L61">
            <v>0.2</v>
          </cell>
          <cell r="M61">
            <v>1.1000000000000001</v>
          </cell>
          <cell r="N61">
            <v>0</v>
          </cell>
          <cell r="O61">
            <v>0.2</v>
          </cell>
          <cell r="P61">
            <v>0.1</v>
          </cell>
          <cell r="Q61">
            <v>0.1</v>
          </cell>
          <cell r="R61">
            <v>29.1</v>
          </cell>
          <cell r="S61">
            <v>0</v>
          </cell>
          <cell r="T61">
            <v>0</v>
          </cell>
          <cell r="U61">
            <v>18.2</v>
          </cell>
          <cell r="V61">
            <v>10.3</v>
          </cell>
          <cell r="W61">
            <v>8</v>
          </cell>
          <cell r="X61">
            <v>0</v>
          </cell>
          <cell r="Y61">
            <v>35</v>
          </cell>
          <cell r="Z61">
            <v>0</v>
          </cell>
        </row>
        <row r="62">
          <cell r="A62">
            <v>43061</v>
          </cell>
          <cell r="B62">
            <v>61</v>
          </cell>
          <cell r="C62">
            <v>13.8</v>
          </cell>
          <cell r="D62">
            <v>32.299999999999997</v>
          </cell>
          <cell r="E62">
            <v>2.34</v>
          </cell>
          <cell r="F62">
            <v>50</v>
          </cell>
          <cell r="G62">
            <v>11</v>
          </cell>
          <cell r="H62">
            <v>3.2</v>
          </cell>
          <cell r="I62">
            <v>35.799999999999997</v>
          </cell>
          <cell r="J62">
            <v>57.2</v>
          </cell>
          <cell r="K62">
            <v>4.3</v>
          </cell>
          <cell r="L62">
            <v>6.7</v>
          </cell>
          <cell r="M62">
            <v>1.4</v>
          </cell>
          <cell r="N62">
            <v>1.8</v>
          </cell>
          <cell r="O62">
            <v>9.1</v>
          </cell>
          <cell r="P62">
            <v>4.7</v>
          </cell>
          <cell r="Q62">
            <v>2.9</v>
          </cell>
          <cell r="R62">
            <v>19.2</v>
          </cell>
          <cell r="S62">
            <v>0</v>
          </cell>
          <cell r="T62">
            <v>0</v>
          </cell>
          <cell r="U62">
            <v>5.6</v>
          </cell>
          <cell r="V62">
            <v>1.6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</row>
        <row r="63">
          <cell r="A63">
            <v>43062</v>
          </cell>
          <cell r="B63">
            <v>62</v>
          </cell>
          <cell r="C63">
            <v>15.6</v>
          </cell>
          <cell r="D63">
            <v>18.7</v>
          </cell>
          <cell r="E63">
            <v>1.2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8.8000000000000007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7</v>
          </cell>
          <cell r="V63">
            <v>1.8</v>
          </cell>
          <cell r="W63">
            <v>4</v>
          </cell>
          <cell r="X63">
            <v>0</v>
          </cell>
          <cell r="Y63">
            <v>0</v>
          </cell>
          <cell r="Z63">
            <v>0</v>
          </cell>
        </row>
        <row r="64">
          <cell r="A64">
            <v>43063</v>
          </cell>
          <cell r="B64">
            <v>63</v>
          </cell>
          <cell r="C64">
            <v>12.6</v>
          </cell>
          <cell r="D64">
            <v>20.9</v>
          </cell>
          <cell r="E64">
            <v>1.66</v>
          </cell>
          <cell r="F64">
            <v>29</v>
          </cell>
          <cell r="G64">
            <v>1.3</v>
          </cell>
          <cell r="H64">
            <v>0.4</v>
          </cell>
          <cell r="I64">
            <v>27.3</v>
          </cell>
          <cell r="J64">
            <v>38.9</v>
          </cell>
          <cell r="K64">
            <v>0.5</v>
          </cell>
          <cell r="L64">
            <v>0.7</v>
          </cell>
          <cell r="M64">
            <v>0.2</v>
          </cell>
          <cell r="N64">
            <v>0.2</v>
          </cell>
          <cell r="O64">
            <v>2.8</v>
          </cell>
          <cell r="P64">
            <v>0.5</v>
          </cell>
          <cell r="Q64">
            <v>0.3</v>
          </cell>
          <cell r="R64">
            <v>23.7</v>
          </cell>
          <cell r="S64">
            <v>0</v>
          </cell>
          <cell r="T64">
            <v>0</v>
          </cell>
          <cell r="U64">
            <v>8.4</v>
          </cell>
          <cell r="V64">
            <v>1.5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</row>
        <row r="65">
          <cell r="A65">
            <v>43064</v>
          </cell>
          <cell r="B65">
            <v>64</v>
          </cell>
          <cell r="C65">
            <v>78.8</v>
          </cell>
          <cell r="D65">
            <v>190.3</v>
          </cell>
          <cell r="E65">
            <v>2.42</v>
          </cell>
          <cell r="F65">
            <v>120.1</v>
          </cell>
          <cell r="G65">
            <v>5.9</v>
          </cell>
          <cell r="H65">
            <v>5.9</v>
          </cell>
          <cell r="I65">
            <v>108.2</v>
          </cell>
          <cell r="J65">
            <v>136.19999999999999</v>
          </cell>
          <cell r="K65">
            <v>2.5</v>
          </cell>
          <cell r="L65">
            <v>3.3</v>
          </cell>
          <cell r="M65">
            <v>5</v>
          </cell>
          <cell r="N65">
            <v>0.9</v>
          </cell>
          <cell r="O65">
            <v>4.8</v>
          </cell>
          <cell r="P65">
            <v>2.5</v>
          </cell>
          <cell r="Q65">
            <v>1.5</v>
          </cell>
          <cell r="R65">
            <v>99.4</v>
          </cell>
          <cell r="S65">
            <v>0</v>
          </cell>
          <cell r="T65">
            <v>0</v>
          </cell>
          <cell r="U65">
            <v>7</v>
          </cell>
          <cell r="V65">
            <v>9.1999999999999993</v>
          </cell>
          <cell r="W65">
            <v>188</v>
          </cell>
          <cell r="X65">
            <v>0</v>
          </cell>
          <cell r="Y65">
            <v>45</v>
          </cell>
          <cell r="Z65">
            <v>1080</v>
          </cell>
        </row>
        <row r="66">
          <cell r="A66">
            <v>43065</v>
          </cell>
          <cell r="B66">
            <v>65</v>
          </cell>
          <cell r="C66">
            <v>139.4</v>
          </cell>
          <cell r="D66">
            <v>282.8</v>
          </cell>
          <cell r="E66">
            <v>2.0299999999999998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30.2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14</v>
          </cell>
          <cell r="V66">
            <v>16.2</v>
          </cell>
          <cell r="W66">
            <v>47</v>
          </cell>
          <cell r="X66">
            <v>0</v>
          </cell>
          <cell r="Y66">
            <v>0</v>
          </cell>
          <cell r="Z66">
            <v>0</v>
          </cell>
        </row>
        <row r="67">
          <cell r="A67">
            <v>43066</v>
          </cell>
          <cell r="B67">
            <v>66</v>
          </cell>
          <cell r="C67">
            <v>82</v>
          </cell>
          <cell r="D67">
            <v>210</v>
          </cell>
          <cell r="E67">
            <v>2.56</v>
          </cell>
          <cell r="F67">
            <v>75.099999999999994</v>
          </cell>
          <cell r="G67">
            <v>1.8</v>
          </cell>
          <cell r="H67">
            <v>0.5</v>
          </cell>
          <cell r="I67">
            <v>72.8</v>
          </cell>
          <cell r="J67">
            <v>84.6</v>
          </cell>
          <cell r="K67">
            <v>0.8</v>
          </cell>
          <cell r="L67">
            <v>1</v>
          </cell>
          <cell r="M67">
            <v>0.2</v>
          </cell>
          <cell r="N67">
            <v>0.3</v>
          </cell>
          <cell r="O67">
            <v>39.6</v>
          </cell>
          <cell r="P67">
            <v>0.8</v>
          </cell>
          <cell r="Q67">
            <v>0.5</v>
          </cell>
          <cell r="R67">
            <v>31.9</v>
          </cell>
          <cell r="S67">
            <v>0</v>
          </cell>
          <cell r="T67">
            <v>0</v>
          </cell>
          <cell r="U67">
            <v>0</v>
          </cell>
          <cell r="V67">
            <v>9.5</v>
          </cell>
          <cell r="W67">
            <v>31</v>
          </cell>
          <cell r="X67">
            <v>0</v>
          </cell>
          <cell r="Y67">
            <v>0</v>
          </cell>
          <cell r="Z67">
            <v>0</v>
          </cell>
        </row>
        <row r="68">
          <cell r="A68">
            <v>43067</v>
          </cell>
          <cell r="B68">
            <v>67</v>
          </cell>
          <cell r="C68">
            <v>179</v>
          </cell>
          <cell r="D68">
            <v>411.8</v>
          </cell>
          <cell r="E68">
            <v>2.2999999999999998</v>
          </cell>
          <cell r="F68">
            <v>20.9</v>
          </cell>
          <cell r="G68">
            <v>0.7</v>
          </cell>
          <cell r="H68">
            <v>3.6</v>
          </cell>
          <cell r="I68">
            <v>16.600000000000001</v>
          </cell>
          <cell r="J68">
            <v>47.3</v>
          </cell>
          <cell r="K68">
            <v>0.3</v>
          </cell>
          <cell r="L68">
            <v>0.4</v>
          </cell>
          <cell r="M68">
            <v>0.1</v>
          </cell>
          <cell r="N68">
            <v>3.6</v>
          </cell>
          <cell r="O68">
            <v>8.8000000000000007</v>
          </cell>
          <cell r="P68">
            <v>0.3</v>
          </cell>
          <cell r="Q68">
            <v>0.2</v>
          </cell>
          <cell r="R68">
            <v>7.3</v>
          </cell>
          <cell r="S68">
            <v>0</v>
          </cell>
          <cell r="T68">
            <v>0</v>
          </cell>
          <cell r="U68">
            <v>5.6</v>
          </cell>
          <cell r="V68">
            <v>20.8</v>
          </cell>
          <cell r="W68">
            <v>118</v>
          </cell>
          <cell r="X68">
            <v>0</v>
          </cell>
          <cell r="Y68">
            <v>0</v>
          </cell>
          <cell r="Z68">
            <v>0</v>
          </cell>
        </row>
        <row r="69">
          <cell r="A69">
            <v>43068</v>
          </cell>
          <cell r="B69">
            <v>68</v>
          </cell>
          <cell r="C69">
            <v>139.69999999999999</v>
          </cell>
          <cell r="D69">
            <v>259.89999999999998</v>
          </cell>
          <cell r="E69">
            <v>1.86</v>
          </cell>
          <cell r="F69">
            <v>8.3000000000000007</v>
          </cell>
          <cell r="G69">
            <v>1.7</v>
          </cell>
          <cell r="H69">
            <v>0.1</v>
          </cell>
          <cell r="I69">
            <v>6.6</v>
          </cell>
          <cell r="J69">
            <v>24.5</v>
          </cell>
          <cell r="K69">
            <v>1.5</v>
          </cell>
          <cell r="L69">
            <v>0.2</v>
          </cell>
          <cell r="M69">
            <v>0</v>
          </cell>
          <cell r="N69">
            <v>0</v>
          </cell>
          <cell r="O69">
            <v>5.8</v>
          </cell>
          <cell r="P69">
            <v>0.1</v>
          </cell>
          <cell r="Q69">
            <v>0.1</v>
          </cell>
          <cell r="R69">
            <v>0.5</v>
          </cell>
          <cell r="S69">
            <v>0</v>
          </cell>
          <cell r="T69">
            <v>0</v>
          </cell>
          <cell r="U69">
            <v>0</v>
          </cell>
          <cell r="V69">
            <v>16.2</v>
          </cell>
          <cell r="W69">
            <v>8</v>
          </cell>
          <cell r="X69">
            <v>0</v>
          </cell>
          <cell r="Y69">
            <v>0</v>
          </cell>
          <cell r="Z69">
            <v>0</v>
          </cell>
        </row>
        <row r="70">
          <cell r="A70">
            <v>43069</v>
          </cell>
          <cell r="B70">
            <v>69</v>
          </cell>
          <cell r="C70">
            <v>389.2</v>
          </cell>
          <cell r="D70">
            <v>708.4</v>
          </cell>
          <cell r="E70">
            <v>1.82</v>
          </cell>
          <cell r="F70">
            <v>771.1</v>
          </cell>
          <cell r="G70">
            <v>31</v>
          </cell>
          <cell r="H70">
            <v>8.9</v>
          </cell>
          <cell r="I70">
            <v>731.2</v>
          </cell>
          <cell r="J70">
            <v>826.1</v>
          </cell>
          <cell r="K70">
            <v>13</v>
          </cell>
          <cell r="L70">
            <v>18</v>
          </cell>
          <cell r="M70">
            <v>3.9</v>
          </cell>
          <cell r="N70">
            <v>5</v>
          </cell>
          <cell r="O70">
            <v>24.5</v>
          </cell>
          <cell r="P70">
            <v>27.5</v>
          </cell>
          <cell r="Q70">
            <v>7.9</v>
          </cell>
          <cell r="R70">
            <v>671.2</v>
          </cell>
          <cell r="S70">
            <v>0</v>
          </cell>
          <cell r="T70">
            <v>0</v>
          </cell>
          <cell r="U70">
            <v>9.8000000000000007</v>
          </cell>
          <cell r="V70">
            <v>45.2</v>
          </cell>
          <cell r="W70">
            <v>214</v>
          </cell>
          <cell r="X70">
            <v>0</v>
          </cell>
          <cell r="Y70">
            <v>0</v>
          </cell>
          <cell r="Z70">
            <v>0</v>
          </cell>
        </row>
        <row r="71">
          <cell r="A71">
            <v>43070</v>
          </cell>
          <cell r="B71">
            <v>70</v>
          </cell>
          <cell r="C71">
            <v>185.8</v>
          </cell>
          <cell r="D71">
            <v>222.9</v>
          </cell>
          <cell r="E71">
            <v>1.2</v>
          </cell>
          <cell r="F71">
            <v>26.2</v>
          </cell>
          <cell r="G71">
            <v>1</v>
          </cell>
          <cell r="H71">
            <v>3.8</v>
          </cell>
          <cell r="I71">
            <v>21.4</v>
          </cell>
          <cell r="J71">
            <v>66</v>
          </cell>
          <cell r="K71">
            <v>0.4</v>
          </cell>
          <cell r="L71">
            <v>0.6</v>
          </cell>
          <cell r="M71">
            <v>0.1</v>
          </cell>
          <cell r="N71">
            <v>3.7</v>
          </cell>
          <cell r="O71">
            <v>9.1999999999999993</v>
          </cell>
          <cell r="P71">
            <v>0.4</v>
          </cell>
          <cell r="Q71">
            <v>0.3</v>
          </cell>
          <cell r="R71">
            <v>11.5</v>
          </cell>
          <cell r="S71">
            <v>0</v>
          </cell>
          <cell r="T71">
            <v>0</v>
          </cell>
          <cell r="U71">
            <v>18.2</v>
          </cell>
          <cell r="V71">
            <v>21.6</v>
          </cell>
          <cell r="W71">
            <v>54</v>
          </cell>
          <cell r="X71">
            <v>0</v>
          </cell>
          <cell r="Y71">
            <v>0</v>
          </cell>
          <cell r="Z71">
            <v>0</v>
          </cell>
        </row>
        <row r="72">
          <cell r="A72">
            <v>43071</v>
          </cell>
          <cell r="B72">
            <v>71</v>
          </cell>
          <cell r="C72">
            <v>28.1</v>
          </cell>
          <cell r="D72">
            <v>64.7</v>
          </cell>
          <cell r="E72">
            <v>2.2999999999999998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20.100000000000001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16.8</v>
          </cell>
          <cell r="V72">
            <v>3.3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</row>
        <row r="73">
          <cell r="A73">
            <v>43072</v>
          </cell>
          <cell r="B73">
            <v>72</v>
          </cell>
          <cell r="C73">
            <v>111.6</v>
          </cell>
          <cell r="D73">
            <v>198</v>
          </cell>
          <cell r="E73">
            <v>1.78</v>
          </cell>
          <cell r="F73">
            <v>11.8</v>
          </cell>
          <cell r="G73">
            <v>0.4</v>
          </cell>
          <cell r="H73">
            <v>1</v>
          </cell>
          <cell r="I73">
            <v>10.3</v>
          </cell>
          <cell r="J73">
            <v>26.2</v>
          </cell>
          <cell r="K73">
            <v>0.2</v>
          </cell>
          <cell r="L73">
            <v>0.2</v>
          </cell>
          <cell r="M73">
            <v>0.1</v>
          </cell>
          <cell r="N73">
            <v>1</v>
          </cell>
          <cell r="O73">
            <v>0.3</v>
          </cell>
          <cell r="P73">
            <v>0.2</v>
          </cell>
          <cell r="Q73">
            <v>0.1</v>
          </cell>
          <cell r="R73">
            <v>9.6999999999999993</v>
          </cell>
          <cell r="S73">
            <v>0</v>
          </cell>
          <cell r="T73">
            <v>0</v>
          </cell>
          <cell r="U73">
            <v>1.4</v>
          </cell>
          <cell r="V73">
            <v>13</v>
          </cell>
          <cell r="W73">
            <v>55</v>
          </cell>
          <cell r="X73">
            <v>0</v>
          </cell>
          <cell r="Y73">
            <v>0</v>
          </cell>
          <cell r="Z73">
            <v>0</v>
          </cell>
        </row>
        <row r="74">
          <cell r="A74">
            <v>43073</v>
          </cell>
          <cell r="B74">
            <v>73</v>
          </cell>
          <cell r="C74">
            <v>114.1</v>
          </cell>
          <cell r="D74">
            <v>199.2</v>
          </cell>
          <cell r="E74">
            <v>1.75</v>
          </cell>
          <cell r="F74">
            <v>696.6</v>
          </cell>
          <cell r="G74">
            <v>339</v>
          </cell>
          <cell r="H74">
            <v>38.200000000000003</v>
          </cell>
          <cell r="I74">
            <v>319.39999999999998</v>
          </cell>
          <cell r="J74">
            <v>723.8</v>
          </cell>
          <cell r="K74">
            <v>130</v>
          </cell>
          <cell r="L74">
            <v>209</v>
          </cell>
          <cell r="M74">
            <v>4</v>
          </cell>
          <cell r="N74">
            <v>34.200000000000003</v>
          </cell>
          <cell r="O74">
            <v>71.400000000000006</v>
          </cell>
          <cell r="P74">
            <v>13.4</v>
          </cell>
          <cell r="Q74">
            <v>49.8</v>
          </cell>
          <cell r="R74">
            <v>184.7</v>
          </cell>
          <cell r="S74">
            <v>0</v>
          </cell>
          <cell r="T74">
            <v>0</v>
          </cell>
          <cell r="U74">
            <v>14</v>
          </cell>
          <cell r="V74">
            <v>13.3</v>
          </cell>
          <cell r="W74">
            <v>48</v>
          </cell>
          <cell r="X74">
            <v>0</v>
          </cell>
          <cell r="Y74">
            <v>0</v>
          </cell>
          <cell r="Z74">
            <v>125</v>
          </cell>
        </row>
        <row r="75">
          <cell r="A75">
            <v>43074</v>
          </cell>
          <cell r="B75">
            <v>74</v>
          </cell>
          <cell r="C75">
            <v>31.1</v>
          </cell>
          <cell r="D75">
            <v>64</v>
          </cell>
          <cell r="E75">
            <v>2.06</v>
          </cell>
          <cell r="F75">
            <v>6.6</v>
          </cell>
          <cell r="G75">
            <v>0.3</v>
          </cell>
          <cell r="H75">
            <v>0.1</v>
          </cell>
          <cell r="I75">
            <v>6.2</v>
          </cell>
          <cell r="J75">
            <v>11.6</v>
          </cell>
          <cell r="K75">
            <v>0.1</v>
          </cell>
          <cell r="L75">
            <v>0.2</v>
          </cell>
          <cell r="M75">
            <v>0</v>
          </cell>
          <cell r="N75">
            <v>0</v>
          </cell>
          <cell r="O75">
            <v>0.2</v>
          </cell>
          <cell r="P75">
            <v>0.1</v>
          </cell>
          <cell r="Q75">
            <v>0.1</v>
          </cell>
          <cell r="R75">
            <v>5.8</v>
          </cell>
          <cell r="S75">
            <v>0</v>
          </cell>
          <cell r="T75">
            <v>0</v>
          </cell>
          <cell r="U75">
            <v>1.4</v>
          </cell>
          <cell r="V75">
            <v>3.6</v>
          </cell>
          <cell r="W75">
            <v>14</v>
          </cell>
          <cell r="X75">
            <v>0</v>
          </cell>
          <cell r="Y75">
            <v>0</v>
          </cell>
          <cell r="Z75">
            <v>0</v>
          </cell>
        </row>
        <row r="76">
          <cell r="A76">
            <v>43075</v>
          </cell>
          <cell r="B76">
            <v>75</v>
          </cell>
          <cell r="C76">
            <v>45.6</v>
          </cell>
          <cell r="D76">
            <v>87.3</v>
          </cell>
          <cell r="E76">
            <v>1.91</v>
          </cell>
          <cell r="F76">
            <v>6.4</v>
          </cell>
          <cell r="G76">
            <v>0.2</v>
          </cell>
          <cell r="H76">
            <v>0.1</v>
          </cell>
          <cell r="I76">
            <v>6.1</v>
          </cell>
          <cell r="J76">
            <v>14.5</v>
          </cell>
          <cell r="K76">
            <v>0.1</v>
          </cell>
          <cell r="L76">
            <v>0.1</v>
          </cell>
          <cell r="M76">
            <v>0</v>
          </cell>
          <cell r="N76">
            <v>0</v>
          </cell>
          <cell r="O76">
            <v>4.0999999999999996</v>
          </cell>
          <cell r="P76">
            <v>0.1</v>
          </cell>
          <cell r="Q76">
            <v>0.1</v>
          </cell>
          <cell r="R76">
            <v>1.8</v>
          </cell>
          <cell r="S76">
            <v>0</v>
          </cell>
          <cell r="T76">
            <v>0</v>
          </cell>
          <cell r="U76">
            <v>2.8</v>
          </cell>
          <cell r="V76">
            <v>5.3</v>
          </cell>
          <cell r="W76">
            <v>14</v>
          </cell>
          <cell r="X76">
            <v>0</v>
          </cell>
          <cell r="Y76">
            <v>0</v>
          </cell>
          <cell r="Z76">
            <v>0</v>
          </cell>
        </row>
        <row r="77">
          <cell r="A77">
            <v>43076</v>
          </cell>
          <cell r="B77">
            <v>76</v>
          </cell>
          <cell r="C77">
            <v>52.2</v>
          </cell>
          <cell r="D77">
            <v>114</v>
          </cell>
          <cell r="E77">
            <v>2.1800000000000002</v>
          </cell>
          <cell r="F77">
            <v>18.899999999999999</v>
          </cell>
          <cell r="G77">
            <v>0.6</v>
          </cell>
          <cell r="H77">
            <v>0.2</v>
          </cell>
          <cell r="I77">
            <v>18.100000000000001</v>
          </cell>
          <cell r="J77">
            <v>29.2</v>
          </cell>
          <cell r="K77">
            <v>0.3</v>
          </cell>
          <cell r="L77">
            <v>0.4</v>
          </cell>
          <cell r="M77">
            <v>0.1</v>
          </cell>
          <cell r="N77">
            <v>0.1</v>
          </cell>
          <cell r="O77">
            <v>8.6999999999999993</v>
          </cell>
          <cell r="P77">
            <v>0.3</v>
          </cell>
          <cell r="Q77">
            <v>0.2</v>
          </cell>
          <cell r="R77">
            <v>9</v>
          </cell>
          <cell r="S77">
            <v>0</v>
          </cell>
          <cell r="T77">
            <v>0</v>
          </cell>
          <cell r="U77">
            <v>4.2</v>
          </cell>
          <cell r="V77">
            <v>6.1</v>
          </cell>
          <cell r="W77">
            <v>12</v>
          </cell>
          <cell r="X77">
            <v>0</v>
          </cell>
          <cell r="Y77">
            <v>0</v>
          </cell>
          <cell r="Z77">
            <v>0</v>
          </cell>
        </row>
        <row r="78">
          <cell r="A78">
            <v>43077</v>
          </cell>
          <cell r="B78">
            <v>77</v>
          </cell>
          <cell r="C78">
            <v>0</v>
          </cell>
          <cell r="D78">
            <v>0</v>
          </cell>
          <cell r="E78">
            <v>0</v>
          </cell>
          <cell r="F78">
            <v>418.2</v>
          </cell>
          <cell r="G78">
            <v>24.7</v>
          </cell>
          <cell r="H78">
            <v>7.1</v>
          </cell>
          <cell r="I78">
            <v>386.4</v>
          </cell>
          <cell r="J78">
            <v>419.6</v>
          </cell>
          <cell r="K78">
            <v>10.4</v>
          </cell>
          <cell r="L78">
            <v>14.3</v>
          </cell>
          <cell r="M78">
            <v>3.1</v>
          </cell>
          <cell r="N78">
            <v>4</v>
          </cell>
          <cell r="O78">
            <v>19.600000000000001</v>
          </cell>
          <cell r="P78">
            <v>317.60000000000002</v>
          </cell>
          <cell r="Q78">
            <v>6.3</v>
          </cell>
          <cell r="R78">
            <v>43</v>
          </cell>
          <cell r="S78">
            <v>0</v>
          </cell>
          <cell r="T78">
            <v>0</v>
          </cell>
          <cell r="U78">
            <v>1.4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</row>
        <row r="79">
          <cell r="A79">
            <v>43078</v>
          </cell>
          <cell r="B79">
            <v>78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</row>
        <row r="80">
          <cell r="A80">
            <v>43079</v>
          </cell>
          <cell r="B80">
            <v>79</v>
          </cell>
          <cell r="C80">
            <v>117.2</v>
          </cell>
          <cell r="D80">
            <v>266.10000000000002</v>
          </cell>
          <cell r="E80">
            <v>2.27</v>
          </cell>
          <cell r="F80">
            <v>454.8</v>
          </cell>
          <cell r="G80">
            <v>49.7</v>
          </cell>
          <cell r="H80">
            <v>48.2</v>
          </cell>
          <cell r="I80">
            <v>356.8</v>
          </cell>
          <cell r="J80">
            <v>471.1</v>
          </cell>
          <cell r="K80">
            <v>21.4</v>
          </cell>
          <cell r="L80">
            <v>28.4</v>
          </cell>
          <cell r="M80">
            <v>13.4</v>
          </cell>
          <cell r="N80">
            <v>34.9</v>
          </cell>
          <cell r="O80">
            <v>31.7</v>
          </cell>
          <cell r="P80">
            <v>184.2</v>
          </cell>
          <cell r="Q80">
            <v>11</v>
          </cell>
          <cell r="R80">
            <v>129.9</v>
          </cell>
          <cell r="S80">
            <v>0</v>
          </cell>
          <cell r="T80">
            <v>0</v>
          </cell>
          <cell r="U80">
            <v>2.8</v>
          </cell>
          <cell r="V80">
            <v>13.6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</row>
        <row r="81">
          <cell r="A81">
            <v>43080</v>
          </cell>
          <cell r="B81">
            <v>80</v>
          </cell>
          <cell r="C81">
            <v>114.2</v>
          </cell>
          <cell r="D81">
            <v>183.4</v>
          </cell>
          <cell r="E81">
            <v>1.61</v>
          </cell>
          <cell r="F81">
            <v>1298</v>
          </cell>
          <cell r="G81">
            <v>429.5</v>
          </cell>
          <cell r="H81">
            <v>27.7</v>
          </cell>
          <cell r="I81">
            <v>840.8</v>
          </cell>
          <cell r="J81">
            <v>1339.3</v>
          </cell>
          <cell r="K81">
            <v>44.2</v>
          </cell>
          <cell r="L81">
            <v>385.3</v>
          </cell>
          <cell r="M81">
            <v>12.3</v>
          </cell>
          <cell r="N81">
            <v>15.5</v>
          </cell>
          <cell r="O81">
            <v>187.4</v>
          </cell>
          <cell r="P81">
            <v>86.8</v>
          </cell>
          <cell r="Q81">
            <v>25.6</v>
          </cell>
          <cell r="R81">
            <v>541.1</v>
          </cell>
          <cell r="S81">
            <v>0</v>
          </cell>
          <cell r="T81">
            <v>0</v>
          </cell>
          <cell r="U81">
            <v>28</v>
          </cell>
          <cell r="V81">
            <v>13.3</v>
          </cell>
          <cell r="W81">
            <v>375</v>
          </cell>
          <cell r="X81">
            <v>0</v>
          </cell>
          <cell r="Y81">
            <v>321</v>
          </cell>
          <cell r="Z81">
            <v>0</v>
          </cell>
        </row>
        <row r="82">
          <cell r="A82">
            <v>43081</v>
          </cell>
          <cell r="B82">
            <v>81</v>
          </cell>
          <cell r="C82">
            <v>74.900000000000006</v>
          </cell>
          <cell r="D82">
            <v>238.6</v>
          </cell>
          <cell r="E82">
            <v>3.19</v>
          </cell>
          <cell r="F82">
            <v>867.5</v>
          </cell>
          <cell r="G82">
            <v>247.3</v>
          </cell>
          <cell r="H82">
            <v>35.6</v>
          </cell>
          <cell r="I82">
            <v>584.5</v>
          </cell>
          <cell r="J82">
            <v>888.8</v>
          </cell>
          <cell r="K82">
            <v>123.7</v>
          </cell>
          <cell r="L82">
            <v>123.6</v>
          </cell>
          <cell r="M82">
            <v>12.7</v>
          </cell>
          <cell r="N82">
            <v>22.9</v>
          </cell>
          <cell r="O82">
            <v>112.8</v>
          </cell>
          <cell r="P82">
            <v>42.8</v>
          </cell>
          <cell r="Q82">
            <v>25.6</v>
          </cell>
          <cell r="R82">
            <v>403.4</v>
          </cell>
          <cell r="S82">
            <v>0</v>
          </cell>
          <cell r="T82">
            <v>0</v>
          </cell>
          <cell r="U82">
            <v>12.6</v>
          </cell>
          <cell r="V82">
            <v>8.6999999999999993</v>
          </cell>
          <cell r="W82">
            <v>0</v>
          </cell>
          <cell r="X82">
            <v>0</v>
          </cell>
          <cell r="Y82">
            <v>31</v>
          </cell>
          <cell r="Z82">
            <v>154</v>
          </cell>
        </row>
        <row r="83">
          <cell r="A83">
            <v>43082</v>
          </cell>
          <cell r="B83">
            <v>82</v>
          </cell>
          <cell r="C83">
            <v>349.4</v>
          </cell>
          <cell r="D83">
            <v>923</v>
          </cell>
          <cell r="E83">
            <v>2.64</v>
          </cell>
          <cell r="F83">
            <v>1055.3</v>
          </cell>
          <cell r="G83">
            <v>313.3</v>
          </cell>
          <cell r="H83">
            <v>65.599999999999994</v>
          </cell>
          <cell r="I83">
            <v>676.5</v>
          </cell>
          <cell r="J83">
            <v>1157.4000000000001</v>
          </cell>
          <cell r="K83">
            <v>122.1</v>
          </cell>
          <cell r="L83">
            <v>191.1</v>
          </cell>
          <cell r="M83">
            <v>41.4</v>
          </cell>
          <cell r="N83">
            <v>24.1</v>
          </cell>
          <cell r="O83">
            <v>114.3</v>
          </cell>
          <cell r="P83">
            <v>57.4</v>
          </cell>
          <cell r="Q83">
            <v>113.1</v>
          </cell>
          <cell r="R83">
            <v>391.6</v>
          </cell>
          <cell r="S83">
            <v>0</v>
          </cell>
          <cell r="T83">
            <v>0</v>
          </cell>
          <cell r="U83">
            <v>61.5</v>
          </cell>
          <cell r="V83">
            <v>40.6</v>
          </cell>
          <cell r="W83">
            <v>0</v>
          </cell>
          <cell r="X83">
            <v>0</v>
          </cell>
          <cell r="Y83">
            <v>14</v>
          </cell>
          <cell r="Z83">
            <v>0</v>
          </cell>
        </row>
        <row r="84">
          <cell r="A84">
            <v>43083</v>
          </cell>
          <cell r="B84">
            <v>83</v>
          </cell>
          <cell r="C84">
            <v>60.8</v>
          </cell>
          <cell r="D84">
            <v>85.7</v>
          </cell>
          <cell r="E84">
            <v>1.41</v>
          </cell>
          <cell r="F84">
            <v>1346.4</v>
          </cell>
          <cell r="G84">
            <v>182.9</v>
          </cell>
          <cell r="H84">
            <v>40.6</v>
          </cell>
          <cell r="I84">
            <v>1122.9000000000001</v>
          </cell>
          <cell r="J84">
            <v>1381.5</v>
          </cell>
          <cell r="K84">
            <v>93.1</v>
          </cell>
          <cell r="L84">
            <v>89.8</v>
          </cell>
          <cell r="M84">
            <v>13.3</v>
          </cell>
          <cell r="N84">
            <v>27.3</v>
          </cell>
          <cell r="O84">
            <v>563.79999999999995</v>
          </cell>
          <cell r="P84">
            <v>44.9</v>
          </cell>
          <cell r="Q84">
            <v>47.9</v>
          </cell>
          <cell r="R84">
            <v>466.3</v>
          </cell>
          <cell r="S84">
            <v>0</v>
          </cell>
          <cell r="T84">
            <v>0</v>
          </cell>
          <cell r="U84">
            <v>28</v>
          </cell>
          <cell r="V84">
            <v>7.1</v>
          </cell>
          <cell r="W84">
            <v>0</v>
          </cell>
          <cell r="X84">
            <v>0</v>
          </cell>
          <cell r="Y84">
            <v>325</v>
          </cell>
          <cell r="Z84">
            <v>21</v>
          </cell>
        </row>
        <row r="85">
          <cell r="A85">
            <v>43084</v>
          </cell>
          <cell r="B85">
            <v>84</v>
          </cell>
          <cell r="C85">
            <v>131.1</v>
          </cell>
          <cell r="D85">
            <v>313.60000000000002</v>
          </cell>
          <cell r="E85">
            <v>2.39</v>
          </cell>
          <cell r="F85">
            <v>1796.2</v>
          </cell>
          <cell r="G85">
            <v>284.5</v>
          </cell>
          <cell r="H85">
            <v>57.3</v>
          </cell>
          <cell r="I85">
            <v>1454.4</v>
          </cell>
          <cell r="J85">
            <v>1824</v>
          </cell>
          <cell r="K85">
            <v>64</v>
          </cell>
          <cell r="L85">
            <v>220.5</v>
          </cell>
          <cell r="M85">
            <v>19.3</v>
          </cell>
          <cell r="N85">
            <v>38</v>
          </cell>
          <cell r="O85">
            <v>525.29999999999995</v>
          </cell>
          <cell r="P85">
            <v>102.2</v>
          </cell>
          <cell r="Q85">
            <v>164.8</v>
          </cell>
          <cell r="R85">
            <v>662.2</v>
          </cell>
          <cell r="S85">
            <v>0</v>
          </cell>
          <cell r="T85">
            <v>0</v>
          </cell>
          <cell r="U85">
            <v>12.6</v>
          </cell>
          <cell r="V85">
            <v>15.2</v>
          </cell>
          <cell r="W85">
            <v>6</v>
          </cell>
          <cell r="X85">
            <v>0</v>
          </cell>
          <cell r="Y85">
            <v>0</v>
          </cell>
          <cell r="Z85">
            <v>209</v>
          </cell>
        </row>
        <row r="86">
          <cell r="A86">
            <v>43085</v>
          </cell>
          <cell r="B86">
            <v>85</v>
          </cell>
          <cell r="C86">
            <v>215</v>
          </cell>
          <cell r="D86">
            <v>513.1</v>
          </cell>
          <cell r="E86">
            <v>2.39</v>
          </cell>
          <cell r="F86">
            <v>653</v>
          </cell>
          <cell r="G86">
            <v>25.1</v>
          </cell>
          <cell r="H86">
            <v>49.6</v>
          </cell>
          <cell r="I86">
            <v>578.29999999999995</v>
          </cell>
          <cell r="J86">
            <v>682.2</v>
          </cell>
          <cell r="K86">
            <v>10.5</v>
          </cell>
          <cell r="L86">
            <v>14.6</v>
          </cell>
          <cell r="M86">
            <v>3.2</v>
          </cell>
          <cell r="N86">
            <v>46.4</v>
          </cell>
          <cell r="O86">
            <v>256.8</v>
          </cell>
          <cell r="P86">
            <v>10.7</v>
          </cell>
          <cell r="Q86">
            <v>112</v>
          </cell>
          <cell r="R86">
            <v>198.8</v>
          </cell>
          <cell r="S86">
            <v>0</v>
          </cell>
          <cell r="T86">
            <v>0</v>
          </cell>
          <cell r="U86">
            <v>4.2</v>
          </cell>
          <cell r="V86">
            <v>25</v>
          </cell>
          <cell r="W86">
            <v>23</v>
          </cell>
          <cell r="X86">
            <v>0</v>
          </cell>
          <cell r="Y86">
            <v>216</v>
          </cell>
          <cell r="Z86">
            <v>0</v>
          </cell>
        </row>
        <row r="87">
          <cell r="A87">
            <v>43086</v>
          </cell>
          <cell r="B87">
            <v>86</v>
          </cell>
          <cell r="C87">
            <v>172.6</v>
          </cell>
          <cell r="D87">
            <v>334.1</v>
          </cell>
          <cell r="E87">
            <v>1.94</v>
          </cell>
          <cell r="F87">
            <v>123</v>
          </cell>
          <cell r="G87">
            <v>14</v>
          </cell>
          <cell r="H87">
            <v>2.8</v>
          </cell>
          <cell r="I87">
            <v>106.2</v>
          </cell>
          <cell r="J87">
            <v>144.4</v>
          </cell>
          <cell r="K87">
            <v>2</v>
          </cell>
          <cell r="L87">
            <v>12</v>
          </cell>
          <cell r="M87">
            <v>0.6</v>
          </cell>
          <cell r="N87">
            <v>2.2000000000000002</v>
          </cell>
          <cell r="O87">
            <v>8.6</v>
          </cell>
          <cell r="P87">
            <v>2.1</v>
          </cell>
          <cell r="Q87">
            <v>1.2</v>
          </cell>
          <cell r="R87">
            <v>94.2</v>
          </cell>
          <cell r="S87">
            <v>0</v>
          </cell>
          <cell r="T87">
            <v>0</v>
          </cell>
          <cell r="U87">
            <v>1.4</v>
          </cell>
          <cell r="V87">
            <v>20</v>
          </cell>
          <cell r="W87">
            <v>33</v>
          </cell>
          <cell r="X87">
            <v>0</v>
          </cell>
          <cell r="Y87">
            <v>0</v>
          </cell>
          <cell r="Z87">
            <v>0</v>
          </cell>
        </row>
        <row r="88">
          <cell r="A88">
            <v>43087</v>
          </cell>
          <cell r="B88">
            <v>87</v>
          </cell>
          <cell r="C88">
            <v>0</v>
          </cell>
          <cell r="D88">
            <v>0</v>
          </cell>
          <cell r="E88">
            <v>0</v>
          </cell>
          <cell r="F88">
            <v>447.4</v>
          </cell>
          <cell r="G88">
            <v>105.6</v>
          </cell>
          <cell r="H88">
            <v>11.8</v>
          </cell>
          <cell r="I88">
            <v>329.9</v>
          </cell>
          <cell r="J88">
            <v>450.2</v>
          </cell>
          <cell r="K88">
            <v>70.5</v>
          </cell>
          <cell r="L88">
            <v>35.1</v>
          </cell>
          <cell r="M88">
            <v>5.2</v>
          </cell>
          <cell r="N88">
            <v>6.6</v>
          </cell>
          <cell r="O88">
            <v>32.299999999999997</v>
          </cell>
          <cell r="P88">
            <v>17.5</v>
          </cell>
          <cell r="Q88">
            <v>10.5</v>
          </cell>
          <cell r="R88">
            <v>269.7</v>
          </cell>
          <cell r="S88">
            <v>0</v>
          </cell>
          <cell r="T88">
            <v>0</v>
          </cell>
          <cell r="U88">
            <v>2.8</v>
          </cell>
          <cell r="V88">
            <v>0</v>
          </cell>
          <cell r="W88">
            <v>0</v>
          </cell>
          <cell r="X88">
            <v>0</v>
          </cell>
          <cell r="Y88">
            <v>34</v>
          </cell>
          <cell r="Z88">
            <v>0</v>
          </cell>
        </row>
        <row r="89">
          <cell r="A89">
            <v>43088</v>
          </cell>
          <cell r="B89">
            <v>88</v>
          </cell>
          <cell r="C89">
            <v>0</v>
          </cell>
          <cell r="D89">
            <v>0</v>
          </cell>
          <cell r="E89">
            <v>0</v>
          </cell>
          <cell r="F89">
            <v>517.20000000000005</v>
          </cell>
          <cell r="G89">
            <v>62.5</v>
          </cell>
          <cell r="H89">
            <v>197.1</v>
          </cell>
          <cell r="I89">
            <v>257.60000000000002</v>
          </cell>
          <cell r="J89">
            <v>521.4</v>
          </cell>
          <cell r="K89">
            <v>26.5</v>
          </cell>
          <cell r="L89">
            <v>36</v>
          </cell>
          <cell r="M89">
            <v>22.1</v>
          </cell>
          <cell r="N89">
            <v>175</v>
          </cell>
          <cell r="O89">
            <v>79.8</v>
          </cell>
          <cell r="P89">
            <v>32.9</v>
          </cell>
          <cell r="Q89">
            <v>15.9</v>
          </cell>
          <cell r="R89">
            <v>128.9</v>
          </cell>
          <cell r="S89">
            <v>0</v>
          </cell>
          <cell r="T89">
            <v>0</v>
          </cell>
          <cell r="U89">
            <v>4.2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</row>
        <row r="90">
          <cell r="A90">
            <v>43089</v>
          </cell>
          <cell r="B90">
            <v>89</v>
          </cell>
          <cell r="C90">
            <v>162</v>
          </cell>
          <cell r="D90">
            <v>553.4</v>
          </cell>
          <cell r="E90">
            <v>3.42</v>
          </cell>
          <cell r="F90">
            <v>173.2</v>
          </cell>
          <cell r="G90">
            <v>19.399999999999999</v>
          </cell>
          <cell r="H90">
            <v>5.6</v>
          </cell>
          <cell r="I90">
            <v>148.19999999999999</v>
          </cell>
          <cell r="J90">
            <v>196.2</v>
          </cell>
          <cell r="K90">
            <v>8.1999999999999993</v>
          </cell>
          <cell r="L90">
            <v>11.2</v>
          </cell>
          <cell r="M90">
            <v>2.5</v>
          </cell>
          <cell r="N90">
            <v>3.1</v>
          </cell>
          <cell r="O90">
            <v>22.8</v>
          </cell>
          <cell r="P90">
            <v>8.3000000000000007</v>
          </cell>
          <cell r="Q90">
            <v>4.9000000000000004</v>
          </cell>
          <cell r="R90">
            <v>112.3</v>
          </cell>
          <cell r="S90">
            <v>0</v>
          </cell>
          <cell r="T90">
            <v>0</v>
          </cell>
          <cell r="U90">
            <v>4.2</v>
          </cell>
          <cell r="V90">
            <v>18.8</v>
          </cell>
          <cell r="W90">
            <v>0</v>
          </cell>
          <cell r="X90">
            <v>0</v>
          </cell>
          <cell r="Y90">
            <v>98</v>
          </cell>
          <cell r="Z90">
            <v>0</v>
          </cell>
        </row>
        <row r="91">
          <cell r="A91">
            <v>43090</v>
          </cell>
          <cell r="B91">
            <v>90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17</v>
          </cell>
          <cell r="Z91">
            <v>0</v>
          </cell>
        </row>
        <row r="92">
          <cell r="A92">
            <v>43091</v>
          </cell>
          <cell r="B92">
            <v>91</v>
          </cell>
          <cell r="C92">
            <v>104.2</v>
          </cell>
          <cell r="D92">
            <v>203.3</v>
          </cell>
          <cell r="E92">
            <v>1.95</v>
          </cell>
          <cell r="F92">
            <v>986.2</v>
          </cell>
          <cell r="G92">
            <v>297.89999999999998</v>
          </cell>
          <cell r="H92">
            <v>54.8</v>
          </cell>
          <cell r="I92">
            <v>633.6</v>
          </cell>
          <cell r="J92">
            <v>1026.3</v>
          </cell>
          <cell r="K92">
            <v>119.8</v>
          </cell>
          <cell r="L92">
            <v>178</v>
          </cell>
          <cell r="M92">
            <v>27.5</v>
          </cell>
          <cell r="N92">
            <v>27.3</v>
          </cell>
          <cell r="O92">
            <v>149</v>
          </cell>
          <cell r="P92">
            <v>72.099999999999994</v>
          </cell>
          <cell r="Q92">
            <v>43</v>
          </cell>
          <cell r="R92">
            <v>369.4</v>
          </cell>
          <cell r="S92">
            <v>0</v>
          </cell>
          <cell r="T92">
            <v>0</v>
          </cell>
          <cell r="U92">
            <v>28</v>
          </cell>
          <cell r="V92">
            <v>12.1</v>
          </cell>
          <cell r="W92">
            <v>0</v>
          </cell>
          <cell r="X92">
            <v>0</v>
          </cell>
          <cell r="Y92">
            <v>416</v>
          </cell>
          <cell r="Z92">
            <v>303</v>
          </cell>
        </row>
        <row r="93">
          <cell r="A93">
            <v>43092</v>
          </cell>
          <cell r="B93">
            <v>92</v>
          </cell>
          <cell r="C93">
            <v>223.1</v>
          </cell>
          <cell r="D93">
            <v>447.9</v>
          </cell>
          <cell r="E93">
            <v>2.0099999999999998</v>
          </cell>
          <cell r="F93">
            <v>1435.9</v>
          </cell>
          <cell r="G93">
            <v>75.5</v>
          </cell>
          <cell r="H93">
            <v>21.8</v>
          </cell>
          <cell r="I93">
            <v>1338.5</v>
          </cell>
          <cell r="J93">
            <v>1468.8</v>
          </cell>
          <cell r="K93">
            <v>31.7</v>
          </cell>
          <cell r="L93">
            <v>43.8</v>
          </cell>
          <cell r="M93">
            <v>9.6</v>
          </cell>
          <cell r="N93">
            <v>12.2</v>
          </cell>
          <cell r="O93">
            <v>60</v>
          </cell>
          <cell r="P93">
            <v>32.200000000000003</v>
          </cell>
          <cell r="Q93">
            <v>35.200000000000003</v>
          </cell>
          <cell r="R93">
            <v>1211.0999999999999</v>
          </cell>
          <cell r="S93">
            <v>0</v>
          </cell>
          <cell r="T93">
            <v>0</v>
          </cell>
          <cell r="U93">
            <v>7</v>
          </cell>
          <cell r="V93">
            <v>25.9</v>
          </cell>
          <cell r="W93">
            <v>485</v>
          </cell>
          <cell r="X93">
            <v>0</v>
          </cell>
          <cell r="Y93">
            <v>75</v>
          </cell>
          <cell r="Z93">
            <v>32</v>
          </cell>
        </row>
        <row r="94">
          <cell r="A94">
            <v>43093</v>
          </cell>
          <cell r="B94">
            <v>93</v>
          </cell>
          <cell r="C94">
            <v>142.69999999999999</v>
          </cell>
          <cell r="D94">
            <v>238.9</v>
          </cell>
          <cell r="E94">
            <v>1.67</v>
          </cell>
          <cell r="F94">
            <v>1144.8</v>
          </cell>
          <cell r="G94">
            <v>523.6</v>
          </cell>
          <cell r="H94">
            <v>38.9</v>
          </cell>
          <cell r="I94">
            <v>582.4</v>
          </cell>
          <cell r="J94">
            <v>1183.8</v>
          </cell>
          <cell r="K94">
            <v>109.6</v>
          </cell>
          <cell r="L94">
            <v>414</v>
          </cell>
          <cell r="M94">
            <v>18.8</v>
          </cell>
          <cell r="N94">
            <v>20</v>
          </cell>
          <cell r="O94">
            <v>98</v>
          </cell>
          <cell r="P94">
            <v>62.2</v>
          </cell>
          <cell r="Q94">
            <v>31.7</v>
          </cell>
          <cell r="R94">
            <v>390.6</v>
          </cell>
          <cell r="S94">
            <v>0</v>
          </cell>
          <cell r="T94">
            <v>0</v>
          </cell>
          <cell r="U94">
            <v>22.4</v>
          </cell>
          <cell r="V94">
            <v>16.600000000000001</v>
          </cell>
          <cell r="W94">
            <v>280</v>
          </cell>
          <cell r="X94">
            <v>0</v>
          </cell>
          <cell r="Y94">
            <v>181</v>
          </cell>
          <cell r="Z94">
            <v>0</v>
          </cell>
        </row>
        <row r="95">
          <cell r="A95">
            <v>43094</v>
          </cell>
          <cell r="B95">
            <v>94</v>
          </cell>
          <cell r="C95">
            <v>165.6</v>
          </cell>
          <cell r="D95">
            <v>284.8</v>
          </cell>
          <cell r="E95">
            <v>1.72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41.6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22.4</v>
          </cell>
          <cell r="V95">
            <v>19.2</v>
          </cell>
          <cell r="W95">
            <v>48</v>
          </cell>
          <cell r="X95">
            <v>0</v>
          </cell>
          <cell r="Y95">
            <v>0</v>
          </cell>
          <cell r="Z95">
            <v>0</v>
          </cell>
        </row>
        <row r="96">
          <cell r="A96">
            <v>43095</v>
          </cell>
          <cell r="B96">
            <v>95</v>
          </cell>
          <cell r="C96">
            <v>73.2</v>
          </cell>
          <cell r="D96">
            <v>126.6</v>
          </cell>
          <cell r="E96">
            <v>1.73</v>
          </cell>
          <cell r="F96">
            <v>18.2</v>
          </cell>
          <cell r="G96">
            <v>11.5</v>
          </cell>
          <cell r="H96">
            <v>0.2</v>
          </cell>
          <cell r="I96">
            <v>6.5</v>
          </cell>
          <cell r="J96">
            <v>26.7</v>
          </cell>
          <cell r="K96">
            <v>0.3</v>
          </cell>
          <cell r="L96">
            <v>11.3</v>
          </cell>
          <cell r="M96">
            <v>0.1</v>
          </cell>
          <cell r="N96">
            <v>0.1</v>
          </cell>
          <cell r="O96">
            <v>5</v>
          </cell>
          <cell r="P96">
            <v>0.3</v>
          </cell>
          <cell r="Q96">
            <v>0.2</v>
          </cell>
          <cell r="R96">
            <v>1.1000000000000001</v>
          </cell>
          <cell r="S96">
            <v>0</v>
          </cell>
          <cell r="T96">
            <v>0</v>
          </cell>
          <cell r="U96">
            <v>0</v>
          </cell>
          <cell r="V96">
            <v>8.5</v>
          </cell>
          <cell r="W96">
            <v>69</v>
          </cell>
          <cell r="X96">
            <v>0</v>
          </cell>
          <cell r="Y96">
            <v>0</v>
          </cell>
          <cell r="Z96">
            <v>0</v>
          </cell>
        </row>
        <row r="97">
          <cell r="A97">
            <v>43096</v>
          </cell>
          <cell r="B97">
            <v>96</v>
          </cell>
          <cell r="C97">
            <v>170.9</v>
          </cell>
          <cell r="D97">
            <v>320.39999999999998</v>
          </cell>
          <cell r="E97">
            <v>1.88</v>
          </cell>
          <cell r="F97">
            <v>25.5</v>
          </cell>
          <cell r="G97">
            <v>2.4</v>
          </cell>
          <cell r="H97">
            <v>0.3</v>
          </cell>
          <cell r="I97">
            <v>22.8</v>
          </cell>
          <cell r="J97">
            <v>63.5</v>
          </cell>
          <cell r="K97">
            <v>1.9</v>
          </cell>
          <cell r="L97">
            <v>0.5</v>
          </cell>
          <cell r="M97">
            <v>0.1</v>
          </cell>
          <cell r="N97">
            <v>0.2</v>
          </cell>
          <cell r="O97">
            <v>4.9000000000000004</v>
          </cell>
          <cell r="P97">
            <v>0.4</v>
          </cell>
          <cell r="Q97">
            <v>0.2</v>
          </cell>
          <cell r="R97">
            <v>17.3</v>
          </cell>
          <cell r="S97">
            <v>0</v>
          </cell>
          <cell r="T97">
            <v>0</v>
          </cell>
          <cell r="U97">
            <v>18.2</v>
          </cell>
          <cell r="V97">
            <v>19.8</v>
          </cell>
          <cell r="W97">
            <v>210</v>
          </cell>
          <cell r="X97">
            <v>0</v>
          </cell>
          <cell r="Y97">
            <v>210</v>
          </cell>
          <cell r="Z97">
            <v>0</v>
          </cell>
        </row>
        <row r="98">
          <cell r="A98">
            <v>43097</v>
          </cell>
          <cell r="B98">
            <v>97</v>
          </cell>
          <cell r="C98">
            <v>198.9</v>
          </cell>
          <cell r="D98">
            <v>258.60000000000002</v>
          </cell>
          <cell r="E98">
            <v>1.3</v>
          </cell>
          <cell r="F98">
            <v>235.1</v>
          </cell>
          <cell r="G98">
            <v>108.3</v>
          </cell>
          <cell r="H98">
            <v>7.5</v>
          </cell>
          <cell r="I98">
            <v>119.2</v>
          </cell>
          <cell r="J98">
            <v>282.60000000000002</v>
          </cell>
          <cell r="K98">
            <v>4.2</v>
          </cell>
          <cell r="L98">
            <v>104.1</v>
          </cell>
          <cell r="M98">
            <v>3.9</v>
          </cell>
          <cell r="N98">
            <v>3.6</v>
          </cell>
          <cell r="O98">
            <v>83.2</v>
          </cell>
          <cell r="P98">
            <v>4.3</v>
          </cell>
          <cell r="Q98">
            <v>3.2</v>
          </cell>
          <cell r="R98">
            <v>28.5</v>
          </cell>
          <cell r="S98">
            <v>0</v>
          </cell>
          <cell r="T98">
            <v>20.2</v>
          </cell>
          <cell r="U98">
            <v>4.2</v>
          </cell>
          <cell r="V98">
            <v>23.1</v>
          </cell>
          <cell r="W98">
            <v>220</v>
          </cell>
          <cell r="X98">
            <v>0</v>
          </cell>
          <cell r="Y98">
            <v>0</v>
          </cell>
          <cell r="Z98">
            <v>12</v>
          </cell>
        </row>
        <row r="99">
          <cell r="A99">
            <v>43098</v>
          </cell>
          <cell r="B99">
            <v>98</v>
          </cell>
          <cell r="C99">
            <v>86.8</v>
          </cell>
          <cell r="D99">
            <v>132.30000000000001</v>
          </cell>
          <cell r="E99">
            <v>1.52</v>
          </cell>
          <cell r="F99">
            <v>2450.1999999999998</v>
          </cell>
          <cell r="G99">
            <v>1182.4000000000001</v>
          </cell>
          <cell r="H99">
            <v>53.1</v>
          </cell>
          <cell r="I99">
            <v>1214.8</v>
          </cell>
          <cell r="J99">
            <v>2467.3000000000002</v>
          </cell>
          <cell r="K99">
            <v>318.60000000000002</v>
          </cell>
          <cell r="L99">
            <v>863.8</v>
          </cell>
          <cell r="M99">
            <v>34.4</v>
          </cell>
          <cell r="N99">
            <v>18.600000000000001</v>
          </cell>
          <cell r="O99">
            <v>400.3</v>
          </cell>
          <cell r="P99">
            <v>346.6</v>
          </cell>
          <cell r="Q99">
            <v>29.5</v>
          </cell>
          <cell r="R99">
            <v>438.4</v>
          </cell>
          <cell r="S99">
            <v>0</v>
          </cell>
          <cell r="T99">
            <v>0</v>
          </cell>
          <cell r="U99">
            <v>7</v>
          </cell>
          <cell r="V99">
            <v>10.1</v>
          </cell>
          <cell r="W99">
            <v>59</v>
          </cell>
          <cell r="X99">
            <v>0</v>
          </cell>
          <cell r="Y99">
            <v>59</v>
          </cell>
          <cell r="Z99">
            <v>0</v>
          </cell>
        </row>
        <row r="100">
          <cell r="A100">
            <v>43099</v>
          </cell>
          <cell r="B100">
            <v>99</v>
          </cell>
          <cell r="C100">
            <v>186.8</v>
          </cell>
          <cell r="D100">
            <v>286.39999999999998</v>
          </cell>
          <cell r="E100">
            <v>1.53</v>
          </cell>
          <cell r="F100">
            <v>7.7</v>
          </cell>
          <cell r="G100">
            <v>0.3</v>
          </cell>
          <cell r="H100">
            <v>0.1</v>
          </cell>
          <cell r="I100">
            <v>7.3</v>
          </cell>
          <cell r="J100">
            <v>49</v>
          </cell>
          <cell r="K100">
            <v>0.1</v>
          </cell>
          <cell r="L100">
            <v>0.2</v>
          </cell>
          <cell r="M100">
            <v>0</v>
          </cell>
          <cell r="N100">
            <v>0.1</v>
          </cell>
          <cell r="O100">
            <v>4.2</v>
          </cell>
          <cell r="P100">
            <v>0.1</v>
          </cell>
          <cell r="Q100">
            <v>1</v>
          </cell>
          <cell r="R100">
            <v>1.9</v>
          </cell>
          <cell r="S100">
            <v>0</v>
          </cell>
          <cell r="T100">
            <v>0</v>
          </cell>
          <cell r="U100">
            <v>19.600000000000001</v>
          </cell>
          <cell r="V100">
            <v>21.7</v>
          </cell>
          <cell r="W100">
            <v>115</v>
          </cell>
          <cell r="X100">
            <v>0</v>
          </cell>
          <cell r="Y100">
            <v>0</v>
          </cell>
          <cell r="Z100">
            <v>0</v>
          </cell>
        </row>
        <row r="101">
          <cell r="A101">
            <v>43100</v>
          </cell>
          <cell r="B101">
            <v>100</v>
          </cell>
          <cell r="C101">
            <v>154.69999999999999</v>
          </cell>
          <cell r="D101">
            <v>308</v>
          </cell>
          <cell r="E101">
            <v>1.990950226</v>
          </cell>
          <cell r="F101">
            <v>1995.1</v>
          </cell>
          <cell r="G101">
            <v>79.7</v>
          </cell>
          <cell r="H101">
            <v>23</v>
          </cell>
          <cell r="I101">
            <v>1892.4</v>
          </cell>
          <cell r="J101">
            <v>2019.4</v>
          </cell>
          <cell r="K101">
            <v>33.4</v>
          </cell>
          <cell r="L101">
            <v>46.3</v>
          </cell>
          <cell r="M101">
            <v>10.1</v>
          </cell>
          <cell r="N101">
            <v>12.9</v>
          </cell>
          <cell r="O101">
            <v>77.7</v>
          </cell>
          <cell r="P101">
            <v>34</v>
          </cell>
          <cell r="Q101">
            <v>20.399999999999999</v>
          </cell>
          <cell r="R101">
            <v>1760.4</v>
          </cell>
          <cell r="S101">
            <v>0</v>
          </cell>
          <cell r="T101">
            <v>0</v>
          </cell>
          <cell r="U101">
            <v>9.8000000000000007</v>
          </cell>
          <cell r="V101">
            <v>14.5</v>
          </cell>
          <cell r="W101">
            <v>0</v>
          </cell>
          <cell r="X101">
            <v>0</v>
          </cell>
          <cell r="Y101">
            <v>751</v>
          </cell>
          <cell r="Z101">
            <v>297</v>
          </cell>
        </row>
        <row r="102">
          <cell r="A102">
            <v>43101</v>
          </cell>
          <cell r="B102">
            <v>101</v>
          </cell>
          <cell r="C102">
            <v>56</v>
          </cell>
          <cell r="D102">
            <v>126.4</v>
          </cell>
          <cell r="E102">
            <v>2.2599999999999998</v>
          </cell>
          <cell r="F102">
            <v>5.9</v>
          </cell>
          <cell r="G102">
            <v>0.2</v>
          </cell>
          <cell r="H102">
            <v>0.1</v>
          </cell>
          <cell r="I102">
            <v>5.6</v>
          </cell>
          <cell r="J102">
            <v>15.2</v>
          </cell>
          <cell r="K102">
            <v>0.1</v>
          </cell>
          <cell r="L102">
            <v>0.1</v>
          </cell>
          <cell r="M102">
            <v>0</v>
          </cell>
          <cell r="N102">
            <v>0</v>
          </cell>
          <cell r="O102">
            <v>0.2</v>
          </cell>
          <cell r="P102">
            <v>1.4</v>
          </cell>
          <cell r="Q102">
            <v>0.1</v>
          </cell>
          <cell r="R102">
            <v>4</v>
          </cell>
          <cell r="S102">
            <v>0</v>
          </cell>
          <cell r="T102">
            <v>0</v>
          </cell>
          <cell r="U102">
            <v>2.8</v>
          </cell>
          <cell r="V102">
            <v>6.5</v>
          </cell>
          <cell r="W102">
            <v>145</v>
          </cell>
          <cell r="X102">
            <v>0</v>
          </cell>
          <cell r="Y102">
            <v>50</v>
          </cell>
          <cell r="Z102">
            <v>0</v>
          </cell>
        </row>
        <row r="103">
          <cell r="A103">
            <v>43102</v>
          </cell>
          <cell r="B103">
            <v>102</v>
          </cell>
          <cell r="C103">
            <v>0</v>
          </cell>
          <cell r="D103">
            <v>0</v>
          </cell>
          <cell r="E103">
            <v>0</v>
          </cell>
          <cell r="F103">
            <v>524.9</v>
          </cell>
          <cell r="G103">
            <v>439.8</v>
          </cell>
          <cell r="H103">
            <v>7</v>
          </cell>
          <cell r="I103">
            <v>78.099999999999994</v>
          </cell>
          <cell r="J103">
            <v>526.29999999999995</v>
          </cell>
          <cell r="K103">
            <v>10.199999999999999</v>
          </cell>
          <cell r="L103">
            <v>429.7</v>
          </cell>
          <cell r="M103">
            <v>3.1</v>
          </cell>
          <cell r="N103">
            <v>3.9</v>
          </cell>
          <cell r="O103">
            <v>19.2</v>
          </cell>
          <cell r="P103">
            <v>10.3</v>
          </cell>
          <cell r="Q103">
            <v>6.2</v>
          </cell>
          <cell r="R103">
            <v>42.3</v>
          </cell>
          <cell r="S103">
            <v>0</v>
          </cell>
          <cell r="T103">
            <v>0</v>
          </cell>
          <cell r="U103">
            <v>1.4</v>
          </cell>
          <cell r="V103">
            <v>0</v>
          </cell>
          <cell r="W103">
            <v>0</v>
          </cell>
          <cell r="X103">
            <v>0</v>
          </cell>
          <cell r="Y103">
            <v>96</v>
          </cell>
          <cell r="Z103">
            <v>142</v>
          </cell>
        </row>
        <row r="104">
          <cell r="A104">
            <v>43103</v>
          </cell>
          <cell r="B104">
            <v>103</v>
          </cell>
          <cell r="C104">
            <v>67</v>
          </cell>
          <cell r="D104">
            <v>93.3</v>
          </cell>
          <cell r="E104">
            <v>1.39</v>
          </cell>
          <cell r="F104">
            <v>21.4</v>
          </cell>
          <cell r="G104">
            <v>2.8</v>
          </cell>
          <cell r="H104">
            <v>0.8</v>
          </cell>
          <cell r="I104">
            <v>17.8</v>
          </cell>
          <cell r="J104">
            <v>41.8</v>
          </cell>
          <cell r="K104">
            <v>1.2</v>
          </cell>
          <cell r="L104">
            <v>1.6</v>
          </cell>
          <cell r="M104">
            <v>0.4</v>
          </cell>
          <cell r="N104">
            <v>0.5</v>
          </cell>
          <cell r="O104">
            <v>2.2000000000000002</v>
          </cell>
          <cell r="P104">
            <v>1.2</v>
          </cell>
          <cell r="Q104">
            <v>0.7</v>
          </cell>
          <cell r="R104">
            <v>13.7</v>
          </cell>
          <cell r="S104">
            <v>0</v>
          </cell>
          <cell r="T104">
            <v>0</v>
          </cell>
          <cell r="U104">
            <v>12.6</v>
          </cell>
          <cell r="V104">
            <v>7.8</v>
          </cell>
          <cell r="W104">
            <v>0</v>
          </cell>
          <cell r="X104">
            <v>0</v>
          </cell>
          <cell r="Y104">
            <v>283</v>
          </cell>
          <cell r="Z104">
            <v>0</v>
          </cell>
        </row>
        <row r="105">
          <cell r="A105">
            <v>43104</v>
          </cell>
          <cell r="B105">
            <v>104</v>
          </cell>
          <cell r="C105">
            <v>69.7</v>
          </cell>
          <cell r="D105">
            <v>102.6</v>
          </cell>
          <cell r="E105">
            <v>1.47</v>
          </cell>
          <cell r="F105">
            <v>559.1</v>
          </cell>
          <cell r="G105">
            <v>463.1</v>
          </cell>
          <cell r="H105">
            <v>7.4</v>
          </cell>
          <cell r="I105">
            <v>88.7</v>
          </cell>
          <cell r="J105">
            <v>570</v>
          </cell>
          <cell r="K105">
            <v>20.8</v>
          </cell>
          <cell r="L105">
            <v>442.2</v>
          </cell>
          <cell r="M105">
            <v>3.2</v>
          </cell>
          <cell r="N105">
            <v>4.0999999999999996</v>
          </cell>
          <cell r="O105">
            <v>26.6</v>
          </cell>
          <cell r="P105">
            <v>10.9</v>
          </cell>
          <cell r="Q105">
            <v>6.6</v>
          </cell>
          <cell r="R105">
            <v>44.7</v>
          </cell>
          <cell r="S105">
            <v>0</v>
          </cell>
          <cell r="T105">
            <v>0</v>
          </cell>
          <cell r="U105">
            <v>2.8</v>
          </cell>
          <cell r="V105">
            <v>8.1</v>
          </cell>
          <cell r="W105">
            <v>0</v>
          </cell>
          <cell r="X105">
            <v>0</v>
          </cell>
          <cell r="Y105">
            <v>617</v>
          </cell>
          <cell r="Z105">
            <v>132</v>
          </cell>
        </row>
        <row r="106">
          <cell r="A106">
            <v>43105</v>
          </cell>
          <cell r="B106">
            <v>105</v>
          </cell>
          <cell r="C106">
            <v>216.1</v>
          </cell>
          <cell r="D106">
            <v>576.4</v>
          </cell>
          <cell r="E106">
            <v>2.67</v>
          </cell>
          <cell r="F106">
            <v>100.9</v>
          </cell>
          <cell r="G106">
            <v>9.5</v>
          </cell>
          <cell r="H106">
            <v>4.9000000000000004</v>
          </cell>
          <cell r="I106">
            <v>86.5</v>
          </cell>
          <cell r="J106">
            <v>154</v>
          </cell>
          <cell r="K106">
            <v>1.5</v>
          </cell>
          <cell r="L106">
            <v>8</v>
          </cell>
          <cell r="M106">
            <v>0.3</v>
          </cell>
          <cell r="N106">
            <v>4.5999999999999996</v>
          </cell>
          <cell r="O106">
            <v>40.9</v>
          </cell>
          <cell r="P106">
            <v>1.1000000000000001</v>
          </cell>
          <cell r="Q106">
            <v>0.7</v>
          </cell>
          <cell r="R106">
            <v>43.8</v>
          </cell>
          <cell r="S106">
            <v>0</v>
          </cell>
          <cell r="T106">
            <v>0</v>
          </cell>
          <cell r="U106">
            <v>28</v>
          </cell>
          <cell r="V106">
            <v>25.1</v>
          </cell>
          <cell r="W106">
            <v>23</v>
          </cell>
          <cell r="X106">
            <v>0</v>
          </cell>
          <cell r="Y106">
            <v>0</v>
          </cell>
          <cell r="Z106">
            <v>0</v>
          </cell>
        </row>
        <row r="107">
          <cell r="A107">
            <v>43106</v>
          </cell>
          <cell r="B107">
            <v>106</v>
          </cell>
          <cell r="C107">
            <v>111.7</v>
          </cell>
          <cell r="D107">
            <v>296.7</v>
          </cell>
          <cell r="E107">
            <v>2.66</v>
          </cell>
          <cell r="F107">
            <v>42.3</v>
          </cell>
          <cell r="G107">
            <v>0.5</v>
          </cell>
          <cell r="H107">
            <v>3.8</v>
          </cell>
          <cell r="I107">
            <v>38.1</v>
          </cell>
          <cell r="J107">
            <v>58.1</v>
          </cell>
          <cell r="K107">
            <v>0.2</v>
          </cell>
          <cell r="L107">
            <v>0.3</v>
          </cell>
          <cell r="M107">
            <v>0.1</v>
          </cell>
          <cell r="N107">
            <v>3.7</v>
          </cell>
          <cell r="O107">
            <v>0.4</v>
          </cell>
          <cell r="P107">
            <v>0.2</v>
          </cell>
          <cell r="Q107">
            <v>0.9</v>
          </cell>
          <cell r="R107">
            <v>36.700000000000003</v>
          </cell>
          <cell r="S107">
            <v>0</v>
          </cell>
          <cell r="T107">
            <v>0</v>
          </cell>
          <cell r="U107">
            <v>2.8</v>
          </cell>
          <cell r="V107">
            <v>13</v>
          </cell>
          <cell r="W107">
            <v>17</v>
          </cell>
          <cell r="X107">
            <v>0</v>
          </cell>
          <cell r="Y107">
            <v>0</v>
          </cell>
          <cell r="Z107">
            <v>0</v>
          </cell>
        </row>
        <row r="108">
          <cell r="A108">
            <v>43107</v>
          </cell>
          <cell r="B108">
            <v>107</v>
          </cell>
          <cell r="C108">
            <v>1</v>
          </cell>
          <cell r="D108">
            <v>2.2999999999999998</v>
          </cell>
          <cell r="E108">
            <v>2.2999999999999998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0.1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0.1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</row>
        <row r="109">
          <cell r="A109">
            <v>43108</v>
          </cell>
          <cell r="B109">
            <v>108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</row>
        <row r="110">
          <cell r="A110">
            <v>43109</v>
          </cell>
          <cell r="B110">
            <v>109</v>
          </cell>
          <cell r="C110">
            <v>226.4</v>
          </cell>
          <cell r="D110">
            <v>423.2</v>
          </cell>
          <cell r="E110">
            <v>1.87</v>
          </cell>
          <cell r="F110">
            <v>193.4</v>
          </cell>
          <cell r="G110">
            <v>1.5</v>
          </cell>
          <cell r="H110">
            <v>9.1</v>
          </cell>
          <cell r="I110">
            <v>182.8</v>
          </cell>
          <cell r="J110">
            <v>267.2</v>
          </cell>
          <cell r="K110">
            <v>0.6</v>
          </cell>
          <cell r="L110">
            <v>0.8</v>
          </cell>
          <cell r="M110">
            <v>0.2</v>
          </cell>
          <cell r="N110">
            <v>8.9</v>
          </cell>
          <cell r="O110">
            <v>79.7</v>
          </cell>
          <cell r="P110">
            <v>0.6</v>
          </cell>
          <cell r="Q110">
            <v>4.5</v>
          </cell>
          <cell r="R110">
            <v>98</v>
          </cell>
          <cell r="S110">
            <v>0</v>
          </cell>
          <cell r="T110">
            <v>0</v>
          </cell>
          <cell r="U110">
            <v>47.5</v>
          </cell>
          <cell r="V110">
            <v>26.3</v>
          </cell>
          <cell r="W110">
            <v>253</v>
          </cell>
          <cell r="X110">
            <v>0</v>
          </cell>
          <cell r="Y110">
            <v>0</v>
          </cell>
          <cell r="Z110">
            <v>0</v>
          </cell>
        </row>
        <row r="111">
          <cell r="A111">
            <v>43110</v>
          </cell>
          <cell r="B111">
            <v>110</v>
          </cell>
          <cell r="C111">
            <v>127.8</v>
          </cell>
          <cell r="D111">
            <v>288.10000000000002</v>
          </cell>
          <cell r="E111">
            <v>2.25</v>
          </cell>
          <cell r="F111">
            <v>14.2</v>
          </cell>
          <cell r="G111">
            <v>4.4000000000000004</v>
          </cell>
          <cell r="H111">
            <v>1.2</v>
          </cell>
          <cell r="I111">
            <v>8.6</v>
          </cell>
          <cell r="J111">
            <v>83.6</v>
          </cell>
          <cell r="K111">
            <v>3.9</v>
          </cell>
          <cell r="L111">
            <v>0.6</v>
          </cell>
          <cell r="M111">
            <v>0.1</v>
          </cell>
          <cell r="N111">
            <v>1.1000000000000001</v>
          </cell>
          <cell r="O111">
            <v>2.9</v>
          </cell>
          <cell r="P111">
            <v>0.4</v>
          </cell>
          <cell r="Q111">
            <v>0.3</v>
          </cell>
          <cell r="R111">
            <v>5</v>
          </cell>
          <cell r="S111">
            <v>0</v>
          </cell>
          <cell r="T111">
            <v>0</v>
          </cell>
          <cell r="U111">
            <v>54.5</v>
          </cell>
          <cell r="V111">
            <v>14.9</v>
          </cell>
          <cell r="W111">
            <v>210</v>
          </cell>
          <cell r="X111">
            <v>0</v>
          </cell>
          <cell r="Y111">
            <v>0</v>
          </cell>
          <cell r="Z111">
            <v>0</v>
          </cell>
        </row>
        <row r="112">
          <cell r="A112">
            <v>43111</v>
          </cell>
          <cell r="B112">
            <v>111</v>
          </cell>
          <cell r="C112">
            <v>42.5</v>
          </cell>
          <cell r="D112">
            <v>139.80000000000001</v>
          </cell>
          <cell r="E112">
            <v>3.29</v>
          </cell>
          <cell r="F112">
            <v>1.7</v>
          </cell>
          <cell r="G112">
            <v>0</v>
          </cell>
          <cell r="H112">
            <v>0</v>
          </cell>
          <cell r="I112">
            <v>1.7</v>
          </cell>
          <cell r="J112">
            <v>26.2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1.7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19.600000000000001</v>
          </cell>
          <cell r="V112">
            <v>4.9000000000000004</v>
          </cell>
          <cell r="W112">
            <v>65</v>
          </cell>
          <cell r="X112">
            <v>0</v>
          </cell>
          <cell r="Y112">
            <v>0</v>
          </cell>
          <cell r="Z112">
            <v>0</v>
          </cell>
        </row>
        <row r="113">
          <cell r="A113">
            <v>43112</v>
          </cell>
          <cell r="B113">
            <v>112</v>
          </cell>
          <cell r="C113">
            <v>93.4</v>
          </cell>
          <cell r="D113">
            <v>277.10000000000002</v>
          </cell>
          <cell r="E113">
            <v>2.97</v>
          </cell>
          <cell r="F113">
            <v>95.7</v>
          </cell>
          <cell r="G113">
            <v>15.9</v>
          </cell>
          <cell r="H113">
            <v>4.7</v>
          </cell>
          <cell r="I113">
            <v>75.099999999999994</v>
          </cell>
          <cell r="J113">
            <v>110.7</v>
          </cell>
          <cell r="K113">
            <v>6.7</v>
          </cell>
          <cell r="L113">
            <v>9.1</v>
          </cell>
          <cell r="M113">
            <v>2</v>
          </cell>
          <cell r="N113">
            <v>2.7</v>
          </cell>
          <cell r="O113">
            <v>12.8</v>
          </cell>
          <cell r="P113">
            <v>6.8</v>
          </cell>
          <cell r="Q113">
            <v>5.2</v>
          </cell>
          <cell r="R113">
            <v>50.4</v>
          </cell>
          <cell r="S113">
            <v>0</v>
          </cell>
          <cell r="T113">
            <v>0</v>
          </cell>
          <cell r="U113">
            <v>4.2</v>
          </cell>
          <cell r="V113">
            <v>10.8</v>
          </cell>
          <cell r="W113">
            <v>23</v>
          </cell>
          <cell r="X113">
            <v>0</v>
          </cell>
          <cell r="Y113">
            <v>0</v>
          </cell>
          <cell r="Z113">
            <v>0</v>
          </cell>
        </row>
        <row r="114">
          <cell r="A114">
            <v>43113</v>
          </cell>
          <cell r="B114">
            <v>113</v>
          </cell>
          <cell r="C114">
            <v>26.8</v>
          </cell>
          <cell r="D114">
            <v>88.3</v>
          </cell>
          <cell r="E114">
            <v>3.29</v>
          </cell>
          <cell r="F114">
            <v>91.1</v>
          </cell>
          <cell r="G114">
            <v>1.6</v>
          </cell>
          <cell r="H114">
            <v>0.5</v>
          </cell>
          <cell r="I114">
            <v>89</v>
          </cell>
          <cell r="J114">
            <v>100.6</v>
          </cell>
          <cell r="K114">
            <v>0.7</v>
          </cell>
          <cell r="L114">
            <v>0.9</v>
          </cell>
          <cell r="M114">
            <v>0.2</v>
          </cell>
          <cell r="N114">
            <v>0.3</v>
          </cell>
          <cell r="O114">
            <v>1.6</v>
          </cell>
          <cell r="P114">
            <v>84.3</v>
          </cell>
          <cell r="Q114">
            <v>0.4</v>
          </cell>
          <cell r="R114">
            <v>2.8</v>
          </cell>
          <cell r="S114">
            <v>0</v>
          </cell>
          <cell r="T114">
            <v>5</v>
          </cell>
          <cell r="U114">
            <v>1.4</v>
          </cell>
          <cell r="V114">
            <v>3.1</v>
          </cell>
          <cell r="W114">
            <v>2</v>
          </cell>
          <cell r="X114">
            <v>0</v>
          </cell>
          <cell r="Y114">
            <v>0</v>
          </cell>
          <cell r="Z114">
            <v>0</v>
          </cell>
        </row>
        <row r="115">
          <cell r="A115">
            <v>43114</v>
          </cell>
          <cell r="B115">
            <v>114</v>
          </cell>
          <cell r="C115">
            <v>182.8</v>
          </cell>
          <cell r="D115">
            <v>572</v>
          </cell>
          <cell r="E115">
            <v>3.13</v>
          </cell>
          <cell r="F115">
            <v>36.6</v>
          </cell>
          <cell r="G115">
            <v>0.3</v>
          </cell>
          <cell r="H115">
            <v>0.1</v>
          </cell>
          <cell r="I115">
            <v>36.299999999999997</v>
          </cell>
          <cell r="J115">
            <v>60.6</v>
          </cell>
          <cell r="K115">
            <v>0.1</v>
          </cell>
          <cell r="L115">
            <v>0.2</v>
          </cell>
          <cell r="M115">
            <v>0</v>
          </cell>
          <cell r="N115">
            <v>0</v>
          </cell>
          <cell r="O115">
            <v>8.4</v>
          </cell>
          <cell r="P115">
            <v>0.1</v>
          </cell>
          <cell r="Q115">
            <v>0.1</v>
          </cell>
          <cell r="R115">
            <v>27.7</v>
          </cell>
          <cell r="S115">
            <v>0</v>
          </cell>
          <cell r="T115">
            <v>0</v>
          </cell>
          <cell r="U115">
            <v>2.8</v>
          </cell>
          <cell r="V115">
            <v>21.2</v>
          </cell>
          <cell r="W115">
            <v>20</v>
          </cell>
          <cell r="X115">
            <v>0</v>
          </cell>
          <cell r="Y115">
            <v>0</v>
          </cell>
          <cell r="Z115">
            <v>0</v>
          </cell>
        </row>
        <row r="116">
          <cell r="A116">
            <v>43115</v>
          </cell>
          <cell r="B116">
            <v>115</v>
          </cell>
          <cell r="C116">
            <v>0</v>
          </cell>
          <cell r="D116">
            <v>0</v>
          </cell>
          <cell r="E116">
            <v>0</v>
          </cell>
          <cell r="F116">
            <v>525.1</v>
          </cell>
          <cell r="G116">
            <v>105.5</v>
          </cell>
          <cell r="H116">
            <v>108.5</v>
          </cell>
          <cell r="I116">
            <v>311.10000000000002</v>
          </cell>
          <cell r="J116">
            <v>533.5</v>
          </cell>
          <cell r="K116">
            <v>40.799999999999997</v>
          </cell>
          <cell r="L116">
            <v>64.7</v>
          </cell>
          <cell r="M116">
            <v>47.7</v>
          </cell>
          <cell r="N116">
            <v>60.7</v>
          </cell>
          <cell r="O116">
            <v>110.9</v>
          </cell>
          <cell r="P116">
            <v>43.4</v>
          </cell>
          <cell r="Q116">
            <v>19.600000000000001</v>
          </cell>
          <cell r="R116">
            <v>137.19999999999999</v>
          </cell>
          <cell r="S116">
            <v>0</v>
          </cell>
          <cell r="T116">
            <v>0</v>
          </cell>
          <cell r="U116">
            <v>8.4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</row>
        <row r="117">
          <cell r="A117">
            <v>43116</v>
          </cell>
          <cell r="B117">
            <v>116</v>
          </cell>
          <cell r="C117">
            <v>85.7</v>
          </cell>
          <cell r="D117">
            <v>311.60000000000002</v>
          </cell>
          <cell r="E117">
            <v>3.64</v>
          </cell>
          <cell r="F117">
            <v>24.5</v>
          </cell>
          <cell r="G117">
            <v>0.7</v>
          </cell>
          <cell r="H117">
            <v>0.1</v>
          </cell>
          <cell r="I117">
            <v>23.6</v>
          </cell>
          <cell r="J117">
            <v>35.9</v>
          </cell>
          <cell r="K117">
            <v>0.6</v>
          </cell>
          <cell r="L117">
            <v>0.2</v>
          </cell>
          <cell r="M117">
            <v>0</v>
          </cell>
          <cell r="N117">
            <v>0</v>
          </cell>
          <cell r="O117">
            <v>15.9</v>
          </cell>
          <cell r="P117">
            <v>0.1</v>
          </cell>
          <cell r="Q117">
            <v>0.1</v>
          </cell>
          <cell r="R117">
            <v>7.5</v>
          </cell>
          <cell r="S117">
            <v>0</v>
          </cell>
          <cell r="T117">
            <v>0</v>
          </cell>
          <cell r="U117">
            <v>1.4</v>
          </cell>
          <cell r="V117">
            <v>10</v>
          </cell>
          <cell r="W117">
            <v>6</v>
          </cell>
          <cell r="X117">
            <v>0</v>
          </cell>
          <cell r="Y117">
            <v>0</v>
          </cell>
          <cell r="Z117">
            <v>0</v>
          </cell>
        </row>
        <row r="118">
          <cell r="A118">
            <v>43117</v>
          </cell>
          <cell r="B118">
            <v>117</v>
          </cell>
          <cell r="C118">
            <v>0</v>
          </cell>
          <cell r="D118">
            <v>0</v>
          </cell>
          <cell r="E118">
            <v>0</v>
          </cell>
          <cell r="F118">
            <v>50</v>
          </cell>
          <cell r="G118">
            <v>11</v>
          </cell>
          <cell r="H118">
            <v>3.2</v>
          </cell>
          <cell r="I118">
            <v>35.9</v>
          </cell>
          <cell r="J118">
            <v>50</v>
          </cell>
          <cell r="K118">
            <v>4.8</v>
          </cell>
          <cell r="L118">
            <v>6.2</v>
          </cell>
          <cell r="M118">
            <v>1.4</v>
          </cell>
          <cell r="N118">
            <v>1.8</v>
          </cell>
          <cell r="O118">
            <v>9.1999999999999993</v>
          </cell>
          <cell r="P118">
            <v>4.7</v>
          </cell>
          <cell r="Q118">
            <v>3</v>
          </cell>
          <cell r="R118">
            <v>18.899999999999999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</row>
        <row r="119">
          <cell r="A119">
            <v>43118</v>
          </cell>
          <cell r="B119">
            <v>118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</row>
        <row r="120">
          <cell r="A120">
            <v>43119</v>
          </cell>
          <cell r="B120">
            <v>119</v>
          </cell>
          <cell r="C120">
            <v>31.3</v>
          </cell>
          <cell r="D120">
            <v>64.7</v>
          </cell>
          <cell r="E120">
            <v>2.0699999999999998</v>
          </cell>
          <cell r="F120">
            <v>345.4</v>
          </cell>
          <cell r="G120">
            <v>17.8</v>
          </cell>
          <cell r="H120">
            <v>5.0999999999999996</v>
          </cell>
          <cell r="I120">
            <v>322.5</v>
          </cell>
          <cell r="J120">
            <v>371.4</v>
          </cell>
          <cell r="K120">
            <v>7.6</v>
          </cell>
          <cell r="L120">
            <v>10.199999999999999</v>
          </cell>
          <cell r="M120">
            <v>2.2999999999999998</v>
          </cell>
          <cell r="N120">
            <v>2.9</v>
          </cell>
          <cell r="O120">
            <v>14</v>
          </cell>
          <cell r="P120">
            <v>7.6</v>
          </cell>
          <cell r="Q120">
            <v>4.5</v>
          </cell>
          <cell r="R120">
            <v>296.39999999999998</v>
          </cell>
          <cell r="S120">
            <v>0</v>
          </cell>
          <cell r="T120">
            <v>0</v>
          </cell>
          <cell r="U120">
            <v>22.4</v>
          </cell>
          <cell r="V120">
            <v>3.6</v>
          </cell>
          <cell r="W120">
            <v>32</v>
          </cell>
          <cell r="X120">
            <v>0</v>
          </cell>
          <cell r="Y120">
            <v>0</v>
          </cell>
          <cell r="Z120">
            <v>0</v>
          </cell>
        </row>
        <row r="121">
          <cell r="A121">
            <v>43120</v>
          </cell>
          <cell r="B121">
            <v>120</v>
          </cell>
          <cell r="C121">
            <v>39.799999999999997</v>
          </cell>
          <cell r="D121">
            <v>50.2</v>
          </cell>
          <cell r="E121">
            <v>1.26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15.8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11.2</v>
          </cell>
          <cell r="V121">
            <v>4.5999999999999996</v>
          </cell>
          <cell r="W121">
            <v>123</v>
          </cell>
          <cell r="X121">
            <v>0</v>
          </cell>
          <cell r="Y121">
            <v>0</v>
          </cell>
          <cell r="Z121">
            <v>0</v>
          </cell>
        </row>
        <row r="122">
          <cell r="A122">
            <v>43121</v>
          </cell>
          <cell r="B122">
            <v>121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</row>
        <row r="123">
          <cell r="A123">
            <v>43122</v>
          </cell>
          <cell r="B123">
            <v>122</v>
          </cell>
          <cell r="C123">
            <v>3.9</v>
          </cell>
          <cell r="D123">
            <v>8.6</v>
          </cell>
          <cell r="E123">
            <v>2.2000000000000002</v>
          </cell>
          <cell r="F123">
            <v>979.7</v>
          </cell>
          <cell r="G123">
            <v>63.1</v>
          </cell>
          <cell r="H123">
            <v>18.2</v>
          </cell>
          <cell r="I123">
            <v>898.4</v>
          </cell>
          <cell r="J123">
            <v>987.2</v>
          </cell>
          <cell r="K123">
            <v>26.6</v>
          </cell>
          <cell r="L123">
            <v>36.5</v>
          </cell>
          <cell r="M123">
            <v>8</v>
          </cell>
          <cell r="N123">
            <v>10.199999999999999</v>
          </cell>
          <cell r="O123">
            <v>81.099999999999994</v>
          </cell>
          <cell r="P123">
            <v>26.9</v>
          </cell>
          <cell r="Q123">
            <v>544.5</v>
          </cell>
          <cell r="R123">
            <v>245.8</v>
          </cell>
          <cell r="S123">
            <v>0</v>
          </cell>
          <cell r="T123">
            <v>0</v>
          </cell>
          <cell r="U123">
            <v>7</v>
          </cell>
          <cell r="V123">
            <v>0.5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</row>
        <row r="124">
          <cell r="A124">
            <v>43123</v>
          </cell>
          <cell r="B124">
            <v>123</v>
          </cell>
          <cell r="C124">
            <v>0</v>
          </cell>
          <cell r="D124">
            <v>0</v>
          </cell>
          <cell r="E124">
            <v>0</v>
          </cell>
          <cell r="F124">
            <v>364.5</v>
          </cell>
          <cell r="G124">
            <v>43.1</v>
          </cell>
          <cell r="H124">
            <v>107</v>
          </cell>
          <cell r="I124">
            <v>214.5</v>
          </cell>
          <cell r="J124">
            <v>370.1</v>
          </cell>
          <cell r="K124">
            <v>18.399999999999999</v>
          </cell>
          <cell r="L124">
            <v>24.7</v>
          </cell>
          <cell r="M124">
            <v>84.1</v>
          </cell>
          <cell r="N124">
            <v>22.8</v>
          </cell>
          <cell r="O124">
            <v>42</v>
          </cell>
          <cell r="P124">
            <v>18.399999999999999</v>
          </cell>
          <cell r="Q124">
            <v>11.1</v>
          </cell>
          <cell r="R124">
            <v>143.1</v>
          </cell>
          <cell r="S124">
            <v>0</v>
          </cell>
          <cell r="T124">
            <v>0</v>
          </cell>
          <cell r="U124">
            <v>5.6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</row>
        <row r="125">
          <cell r="A125">
            <v>43124</v>
          </cell>
          <cell r="B125">
            <v>124</v>
          </cell>
          <cell r="C125">
            <v>4.8</v>
          </cell>
          <cell r="D125">
            <v>11</v>
          </cell>
          <cell r="E125">
            <v>2.2799999999999998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9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8.4</v>
          </cell>
          <cell r="V125">
            <v>0.6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</row>
        <row r="126">
          <cell r="A126">
            <v>43125</v>
          </cell>
          <cell r="B126">
            <v>125</v>
          </cell>
          <cell r="C126">
            <v>315</v>
          </cell>
          <cell r="D126">
            <v>734</v>
          </cell>
          <cell r="E126">
            <v>2.33015873</v>
          </cell>
          <cell r="F126">
            <v>120</v>
          </cell>
          <cell r="G126">
            <v>26.2</v>
          </cell>
          <cell r="H126">
            <v>7.7</v>
          </cell>
          <cell r="I126">
            <v>86.1</v>
          </cell>
          <cell r="J126">
            <v>134.9</v>
          </cell>
          <cell r="K126">
            <v>10.7</v>
          </cell>
          <cell r="L126">
            <v>15.5</v>
          </cell>
          <cell r="M126">
            <v>3.3</v>
          </cell>
          <cell r="N126">
            <v>4.3</v>
          </cell>
          <cell r="O126">
            <v>21.9</v>
          </cell>
          <cell r="P126">
            <v>11.2</v>
          </cell>
          <cell r="Q126">
            <v>7</v>
          </cell>
          <cell r="R126">
            <v>46.1</v>
          </cell>
          <cell r="S126">
            <v>0</v>
          </cell>
          <cell r="T126">
            <v>0</v>
          </cell>
          <cell r="U126">
            <v>7</v>
          </cell>
          <cell r="V126">
            <v>7.9</v>
          </cell>
          <cell r="W126">
            <v>0</v>
          </cell>
          <cell r="X126">
            <v>0</v>
          </cell>
          <cell r="Y126">
            <v>100</v>
          </cell>
          <cell r="Z126">
            <v>0</v>
          </cell>
        </row>
        <row r="127">
          <cell r="A127">
            <v>43126</v>
          </cell>
          <cell r="B127">
            <v>126</v>
          </cell>
          <cell r="C127">
            <v>3.6</v>
          </cell>
          <cell r="D127">
            <v>8.4</v>
          </cell>
          <cell r="E127">
            <v>2.2999999999999998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3.2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2.8</v>
          </cell>
          <cell r="V127">
            <v>0.4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</row>
        <row r="128">
          <cell r="A128">
            <v>43127</v>
          </cell>
          <cell r="B128">
            <v>127</v>
          </cell>
          <cell r="C128">
            <v>218.5</v>
          </cell>
          <cell r="D128">
            <v>763</v>
          </cell>
          <cell r="E128">
            <v>3.4919908469999998</v>
          </cell>
          <cell r="F128">
            <v>68.7</v>
          </cell>
          <cell r="G128">
            <v>15</v>
          </cell>
          <cell r="H128">
            <v>5.2</v>
          </cell>
          <cell r="I128">
            <v>48.6</v>
          </cell>
          <cell r="J128">
            <v>85.7</v>
          </cell>
          <cell r="K128">
            <v>6.1</v>
          </cell>
          <cell r="L128">
            <v>8.8000000000000007</v>
          </cell>
          <cell r="M128">
            <v>1.9</v>
          </cell>
          <cell r="N128">
            <v>3.3</v>
          </cell>
          <cell r="O128">
            <v>12.1</v>
          </cell>
          <cell r="P128">
            <v>6.4</v>
          </cell>
          <cell r="Q128">
            <v>3.9</v>
          </cell>
          <cell r="R128">
            <v>26.2</v>
          </cell>
          <cell r="S128">
            <v>0</v>
          </cell>
          <cell r="T128">
            <v>0</v>
          </cell>
          <cell r="U128">
            <v>8.4</v>
          </cell>
          <cell r="V128">
            <v>8.6</v>
          </cell>
          <cell r="W128">
            <v>33</v>
          </cell>
          <cell r="X128">
            <v>0</v>
          </cell>
          <cell r="Y128">
            <v>70</v>
          </cell>
          <cell r="Z128">
            <v>0</v>
          </cell>
        </row>
        <row r="129">
          <cell r="A129">
            <v>43128</v>
          </cell>
          <cell r="B129">
            <v>128</v>
          </cell>
          <cell r="C129">
            <v>91</v>
          </cell>
          <cell r="D129">
            <v>246</v>
          </cell>
          <cell r="E129">
            <v>2.7032967029999999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91</v>
          </cell>
          <cell r="X129">
            <v>0</v>
          </cell>
          <cell r="Y129">
            <v>0</v>
          </cell>
          <cell r="Z129">
            <v>0</v>
          </cell>
        </row>
        <row r="130">
          <cell r="A130">
            <v>43129</v>
          </cell>
          <cell r="B130">
            <v>129</v>
          </cell>
          <cell r="C130">
            <v>3.5</v>
          </cell>
          <cell r="D130">
            <v>11.9</v>
          </cell>
          <cell r="E130">
            <v>3.38</v>
          </cell>
          <cell r="F130">
            <v>64.099999999999994</v>
          </cell>
          <cell r="G130">
            <v>0.6</v>
          </cell>
          <cell r="H130">
            <v>0.8</v>
          </cell>
          <cell r="I130">
            <v>62.7</v>
          </cell>
          <cell r="J130">
            <v>256.39999999999998</v>
          </cell>
          <cell r="K130">
            <v>0.2</v>
          </cell>
          <cell r="L130">
            <v>0.3</v>
          </cell>
          <cell r="M130">
            <v>0.1</v>
          </cell>
          <cell r="N130">
            <v>0.8</v>
          </cell>
          <cell r="O130">
            <v>0.5</v>
          </cell>
          <cell r="P130">
            <v>0.2</v>
          </cell>
          <cell r="Q130">
            <v>0.1</v>
          </cell>
          <cell r="R130">
            <v>61.9</v>
          </cell>
          <cell r="S130">
            <v>0</v>
          </cell>
          <cell r="T130">
            <v>191.9</v>
          </cell>
          <cell r="U130">
            <v>0</v>
          </cell>
          <cell r="V130">
            <v>0.4</v>
          </cell>
          <cell r="W130">
            <v>6</v>
          </cell>
          <cell r="X130">
            <v>0</v>
          </cell>
          <cell r="Y130">
            <v>0</v>
          </cell>
          <cell r="Z130">
            <v>0</v>
          </cell>
        </row>
        <row r="131">
          <cell r="A131">
            <v>43130</v>
          </cell>
          <cell r="B131">
            <v>130</v>
          </cell>
          <cell r="C131">
            <v>18.600000000000001</v>
          </cell>
          <cell r="D131">
            <v>74.3</v>
          </cell>
          <cell r="E131">
            <v>4</v>
          </cell>
          <cell r="F131">
            <v>20.3</v>
          </cell>
          <cell r="G131">
            <v>3.5</v>
          </cell>
          <cell r="H131">
            <v>5.4</v>
          </cell>
          <cell r="I131">
            <v>11.4</v>
          </cell>
          <cell r="J131">
            <v>47.7</v>
          </cell>
          <cell r="K131">
            <v>1.5</v>
          </cell>
          <cell r="L131">
            <v>2</v>
          </cell>
          <cell r="M131">
            <v>0.4</v>
          </cell>
          <cell r="N131">
            <v>5</v>
          </cell>
          <cell r="O131">
            <v>2.9</v>
          </cell>
          <cell r="P131">
            <v>1.5</v>
          </cell>
          <cell r="Q131">
            <v>0.9</v>
          </cell>
          <cell r="R131">
            <v>6.1</v>
          </cell>
          <cell r="S131">
            <v>22.4</v>
          </cell>
          <cell r="T131">
            <v>0</v>
          </cell>
          <cell r="U131">
            <v>2.8</v>
          </cell>
          <cell r="V131">
            <v>2.2000000000000002</v>
          </cell>
          <cell r="W131">
            <v>12</v>
          </cell>
          <cell r="X131">
            <v>0</v>
          </cell>
          <cell r="Y131">
            <v>0</v>
          </cell>
          <cell r="Z131">
            <v>0</v>
          </cell>
        </row>
        <row r="132">
          <cell r="A132">
            <v>43131</v>
          </cell>
          <cell r="B132">
            <v>131</v>
          </cell>
          <cell r="C132">
            <v>59.3</v>
          </cell>
          <cell r="D132">
            <v>121.4</v>
          </cell>
          <cell r="E132">
            <v>2.0499999999999998</v>
          </cell>
          <cell r="F132">
            <v>14.6</v>
          </cell>
          <cell r="G132">
            <v>0.1</v>
          </cell>
          <cell r="H132">
            <v>11.1</v>
          </cell>
          <cell r="I132">
            <v>3.4</v>
          </cell>
          <cell r="J132">
            <v>27.1</v>
          </cell>
          <cell r="K132">
            <v>0</v>
          </cell>
          <cell r="L132">
            <v>0.1</v>
          </cell>
          <cell r="M132">
            <v>4.5</v>
          </cell>
          <cell r="N132">
            <v>6.6</v>
          </cell>
          <cell r="O132">
            <v>0.1</v>
          </cell>
          <cell r="P132">
            <v>0</v>
          </cell>
          <cell r="Q132">
            <v>0</v>
          </cell>
          <cell r="R132">
            <v>3.2</v>
          </cell>
          <cell r="S132">
            <v>0</v>
          </cell>
          <cell r="T132">
            <v>0</v>
          </cell>
          <cell r="U132">
            <v>5.6</v>
          </cell>
          <cell r="V132">
            <v>6.9</v>
          </cell>
          <cell r="W132">
            <v>34</v>
          </cell>
          <cell r="X132">
            <v>0</v>
          </cell>
          <cell r="Y132">
            <v>0</v>
          </cell>
          <cell r="Z132">
            <v>0</v>
          </cell>
        </row>
        <row r="133">
          <cell r="A133">
            <v>43132</v>
          </cell>
          <cell r="B133">
            <v>132</v>
          </cell>
          <cell r="C133">
            <v>39.200000000000003</v>
          </cell>
          <cell r="D133">
            <v>67</v>
          </cell>
          <cell r="E133">
            <v>1.71</v>
          </cell>
          <cell r="F133">
            <v>34.299999999999997</v>
          </cell>
          <cell r="G133">
            <v>4.5999999999999996</v>
          </cell>
          <cell r="H133">
            <v>1.3</v>
          </cell>
          <cell r="I133">
            <v>28.4</v>
          </cell>
          <cell r="J133">
            <v>85.1</v>
          </cell>
          <cell r="K133">
            <v>1.9</v>
          </cell>
          <cell r="L133">
            <v>2.7</v>
          </cell>
          <cell r="M133">
            <v>0.6</v>
          </cell>
          <cell r="N133">
            <v>0.7</v>
          </cell>
          <cell r="O133">
            <v>17.3</v>
          </cell>
          <cell r="P133">
            <v>2</v>
          </cell>
          <cell r="Q133">
            <v>1.2</v>
          </cell>
          <cell r="R133">
            <v>7.9</v>
          </cell>
          <cell r="S133">
            <v>44.8</v>
          </cell>
          <cell r="T133">
            <v>0</v>
          </cell>
          <cell r="U133">
            <v>1.4</v>
          </cell>
          <cell r="V133">
            <v>4.5999999999999996</v>
          </cell>
          <cell r="W133">
            <v>18</v>
          </cell>
          <cell r="X133">
            <v>0</v>
          </cell>
          <cell r="Y133">
            <v>0</v>
          </cell>
          <cell r="Z133">
            <v>0</v>
          </cell>
        </row>
        <row r="134">
          <cell r="A134">
            <v>43133</v>
          </cell>
          <cell r="B134">
            <v>133</v>
          </cell>
          <cell r="C134">
            <v>70</v>
          </cell>
          <cell r="D134">
            <v>172.2</v>
          </cell>
          <cell r="E134">
            <v>2.46</v>
          </cell>
          <cell r="F134">
            <v>2</v>
          </cell>
          <cell r="G134">
            <v>0.4</v>
          </cell>
          <cell r="H134">
            <v>0.1</v>
          </cell>
          <cell r="I134">
            <v>1.4</v>
          </cell>
          <cell r="J134">
            <v>57.7</v>
          </cell>
          <cell r="K134">
            <v>0.2</v>
          </cell>
          <cell r="L134">
            <v>0.3</v>
          </cell>
          <cell r="M134">
            <v>0.1</v>
          </cell>
          <cell r="N134">
            <v>0.1</v>
          </cell>
          <cell r="O134">
            <v>0.4</v>
          </cell>
          <cell r="P134">
            <v>0.2</v>
          </cell>
          <cell r="Q134">
            <v>0.1</v>
          </cell>
          <cell r="R134">
            <v>0.8</v>
          </cell>
          <cell r="S134">
            <v>44.8</v>
          </cell>
          <cell r="T134">
            <v>0</v>
          </cell>
          <cell r="U134">
            <v>2.8</v>
          </cell>
          <cell r="V134">
            <v>8.1</v>
          </cell>
          <cell r="W134">
            <v>27</v>
          </cell>
          <cell r="X134">
            <v>0</v>
          </cell>
          <cell r="Y134">
            <v>0</v>
          </cell>
          <cell r="Z134">
            <v>0</v>
          </cell>
        </row>
        <row r="135">
          <cell r="A135">
            <v>43134</v>
          </cell>
          <cell r="B135">
            <v>134</v>
          </cell>
          <cell r="C135">
            <v>114.9</v>
          </cell>
          <cell r="D135">
            <v>207.8</v>
          </cell>
          <cell r="E135">
            <v>1.81</v>
          </cell>
          <cell r="F135">
            <v>31.9</v>
          </cell>
          <cell r="G135">
            <v>0.5</v>
          </cell>
          <cell r="H135">
            <v>0.1</v>
          </cell>
          <cell r="I135">
            <v>31.3</v>
          </cell>
          <cell r="J135">
            <v>69.099999999999994</v>
          </cell>
          <cell r="K135">
            <v>0.2</v>
          </cell>
          <cell r="L135">
            <v>0.3</v>
          </cell>
          <cell r="M135">
            <v>0.1</v>
          </cell>
          <cell r="N135">
            <v>0.1</v>
          </cell>
          <cell r="O135">
            <v>0.4</v>
          </cell>
          <cell r="P135">
            <v>0.2</v>
          </cell>
          <cell r="Q135">
            <v>3.2</v>
          </cell>
          <cell r="R135">
            <v>27.5</v>
          </cell>
          <cell r="S135">
            <v>0</v>
          </cell>
          <cell r="T135">
            <v>0</v>
          </cell>
          <cell r="U135">
            <v>23.8</v>
          </cell>
          <cell r="V135">
            <v>13.4</v>
          </cell>
          <cell r="W135">
            <v>40</v>
          </cell>
          <cell r="X135">
            <v>0</v>
          </cell>
          <cell r="Y135">
            <v>0</v>
          </cell>
          <cell r="Z135">
            <v>0</v>
          </cell>
        </row>
        <row r="136">
          <cell r="A136">
            <v>43135</v>
          </cell>
          <cell r="B136">
            <v>135</v>
          </cell>
          <cell r="C136">
            <v>805.8</v>
          </cell>
          <cell r="D136">
            <v>1564.3</v>
          </cell>
          <cell r="E136">
            <v>1.94</v>
          </cell>
          <cell r="F136">
            <v>278.8</v>
          </cell>
          <cell r="G136">
            <v>83.8</v>
          </cell>
          <cell r="H136">
            <v>14.6</v>
          </cell>
          <cell r="I136">
            <v>180.4</v>
          </cell>
          <cell r="J136">
            <v>740.1</v>
          </cell>
          <cell r="K136">
            <v>16.899999999999999</v>
          </cell>
          <cell r="L136">
            <v>66.900000000000006</v>
          </cell>
          <cell r="M136">
            <v>2.9</v>
          </cell>
          <cell r="N136">
            <v>11.7</v>
          </cell>
          <cell r="O136">
            <v>18.2</v>
          </cell>
          <cell r="P136">
            <v>27.6</v>
          </cell>
          <cell r="Q136">
            <v>87.5</v>
          </cell>
          <cell r="R136">
            <v>47.2</v>
          </cell>
          <cell r="S136">
            <v>0</v>
          </cell>
          <cell r="T136">
            <v>0</v>
          </cell>
          <cell r="U136">
            <v>367.7</v>
          </cell>
          <cell r="V136">
            <v>93.6</v>
          </cell>
          <cell r="W136">
            <v>60</v>
          </cell>
          <cell r="X136">
            <v>0</v>
          </cell>
          <cell r="Y136">
            <v>0</v>
          </cell>
          <cell r="Z136">
            <v>0</v>
          </cell>
        </row>
        <row r="137">
          <cell r="A137">
            <v>43136</v>
          </cell>
          <cell r="B137">
            <v>136</v>
          </cell>
          <cell r="C137">
            <v>176.4</v>
          </cell>
          <cell r="D137">
            <v>704.4</v>
          </cell>
          <cell r="E137">
            <v>3.99</v>
          </cell>
          <cell r="F137">
            <v>12.5</v>
          </cell>
          <cell r="G137">
            <v>0.8</v>
          </cell>
          <cell r="H137">
            <v>0.2</v>
          </cell>
          <cell r="I137">
            <v>11.5</v>
          </cell>
          <cell r="J137">
            <v>88.9</v>
          </cell>
          <cell r="K137">
            <v>0.3</v>
          </cell>
          <cell r="L137">
            <v>0.4</v>
          </cell>
          <cell r="M137">
            <v>0.1</v>
          </cell>
          <cell r="N137">
            <v>0.1</v>
          </cell>
          <cell r="O137">
            <v>9.6</v>
          </cell>
          <cell r="P137">
            <v>0.3</v>
          </cell>
          <cell r="Q137">
            <v>0.2</v>
          </cell>
          <cell r="R137">
            <v>1.4</v>
          </cell>
          <cell r="S137">
            <v>0</v>
          </cell>
          <cell r="T137">
            <v>0</v>
          </cell>
          <cell r="U137">
            <v>55.9</v>
          </cell>
          <cell r="V137">
            <v>20.5</v>
          </cell>
          <cell r="W137">
            <v>21</v>
          </cell>
          <cell r="X137">
            <v>0</v>
          </cell>
          <cell r="Y137">
            <v>0</v>
          </cell>
          <cell r="Z137">
            <v>0</v>
          </cell>
        </row>
        <row r="138">
          <cell r="A138">
            <v>43137</v>
          </cell>
          <cell r="B138">
            <v>137</v>
          </cell>
          <cell r="C138">
            <v>67</v>
          </cell>
          <cell r="D138">
            <v>143.80000000000001</v>
          </cell>
          <cell r="E138">
            <v>2.15</v>
          </cell>
          <cell r="F138">
            <v>6.2</v>
          </cell>
          <cell r="G138">
            <v>0.2</v>
          </cell>
          <cell r="H138">
            <v>0.1</v>
          </cell>
          <cell r="I138">
            <v>5.9</v>
          </cell>
          <cell r="J138">
            <v>36.299999999999997</v>
          </cell>
          <cell r="K138">
            <v>0.1</v>
          </cell>
          <cell r="L138">
            <v>0.1</v>
          </cell>
          <cell r="M138">
            <v>0</v>
          </cell>
          <cell r="N138">
            <v>0</v>
          </cell>
          <cell r="O138">
            <v>0.1</v>
          </cell>
          <cell r="P138">
            <v>0.1</v>
          </cell>
          <cell r="Q138">
            <v>0</v>
          </cell>
          <cell r="R138">
            <v>5.7</v>
          </cell>
          <cell r="S138">
            <v>0</v>
          </cell>
          <cell r="T138">
            <v>0</v>
          </cell>
          <cell r="U138">
            <v>22.4</v>
          </cell>
          <cell r="V138">
            <v>7.8</v>
          </cell>
          <cell r="W138">
            <v>33</v>
          </cell>
          <cell r="X138">
            <v>0</v>
          </cell>
          <cell r="Y138">
            <v>0</v>
          </cell>
          <cell r="Z138">
            <v>0</v>
          </cell>
        </row>
        <row r="139">
          <cell r="A139">
            <v>43138</v>
          </cell>
          <cell r="B139">
            <v>138</v>
          </cell>
          <cell r="C139">
            <v>49.9</v>
          </cell>
          <cell r="D139">
            <v>134.5</v>
          </cell>
          <cell r="E139">
            <v>2.7</v>
          </cell>
          <cell r="F139">
            <v>1.5</v>
          </cell>
          <cell r="G139">
            <v>0.1</v>
          </cell>
          <cell r="H139">
            <v>0.9</v>
          </cell>
          <cell r="I139">
            <v>0.4</v>
          </cell>
          <cell r="J139">
            <v>49.3</v>
          </cell>
          <cell r="K139">
            <v>0.1</v>
          </cell>
          <cell r="L139">
            <v>0.1</v>
          </cell>
          <cell r="M139">
            <v>0</v>
          </cell>
          <cell r="N139">
            <v>0.9</v>
          </cell>
          <cell r="O139">
            <v>0.1</v>
          </cell>
          <cell r="P139">
            <v>0.1</v>
          </cell>
          <cell r="Q139">
            <v>0</v>
          </cell>
          <cell r="R139">
            <v>0.2</v>
          </cell>
          <cell r="S139">
            <v>22.4</v>
          </cell>
          <cell r="T139">
            <v>0</v>
          </cell>
          <cell r="U139">
            <v>19.600000000000001</v>
          </cell>
          <cell r="V139">
            <v>5.8</v>
          </cell>
          <cell r="W139">
            <v>4</v>
          </cell>
          <cell r="X139">
            <v>0</v>
          </cell>
          <cell r="Y139">
            <v>0</v>
          </cell>
          <cell r="Z139">
            <v>0</v>
          </cell>
        </row>
        <row r="140">
          <cell r="A140">
            <v>43139</v>
          </cell>
          <cell r="B140">
            <v>139</v>
          </cell>
          <cell r="C140">
            <v>81.7</v>
          </cell>
          <cell r="D140">
            <v>248</v>
          </cell>
          <cell r="E140">
            <v>3.04</v>
          </cell>
          <cell r="F140">
            <v>22.8</v>
          </cell>
          <cell r="G140">
            <v>1.8</v>
          </cell>
          <cell r="H140">
            <v>6.3</v>
          </cell>
          <cell r="I140">
            <v>14.6</v>
          </cell>
          <cell r="J140">
            <v>85.5</v>
          </cell>
          <cell r="K140">
            <v>0.8</v>
          </cell>
          <cell r="L140">
            <v>1</v>
          </cell>
          <cell r="M140">
            <v>0.2</v>
          </cell>
          <cell r="N140">
            <v>6.1</v>
          </cell>
          <cell r="O140">
            <v>1.4</v>
          </cell>
          <cell r="P140">
            <v>0.8</v>
          </cell>
          <cell r="Q140">
            <v>0.5</v>
          </cell>
          <cell r="R140">
            <v>12</v>
          </cell>
          <cell r="S140">
            <v>44.8</v>
          </cell>
          <cell r="T140">
            <v>0</v>
          </cell>
          <cell r="U140">
            <v>8.4</v>
          </cell>
          <cell r="V140">
            <v>9.5</v>
          </cell>
          <cell r="W140">
            <v>15</v>
          </cell>
          <cell r="X140">
            <v>0</v>
          </cell>
          <cell r="Y140">
            <v>0</v>
          </cell>
          <cell r="Z140">
            <v>0</v>
          </cell>
        </row>
        <row r="141">
          <cell r="A141">
            <v>43140</v>
          </cell>
          <cell r="B141">
            <v>140</v>
          </cell>
          <cell r="C141">
            <v>80.3</v>
          </cell>
          <cell r="D141">
            <v>196.2</v>
          </cell>
          <cell r="E141">
            <v>2.44</v>
          </cell>
          <cell r="F141">
            <v>13.2</v>
          </cell>
          <cell r="G141">
            <v>2.2999999999999998</v>
          </cell>
          <cell r="H141">
            <v>0.7</v>
          </cell>
          <cell r="I141">
            <v>10.3</v>
          </cell>
          <cell r="J141">
            <v>70.099999999999994</v>
          </cell>
          <cell r="K141">
            <v>1</v>
          </cell>
          <cell r="L141">
            <v>1.3</v>
          </cell>
          <cell r="M141">
            <v>0.3</v>
          </cell>
          <cell r="N141">
            <v>0.4</v>
          </cell>
          <cell r="O141">
            <v>1.8</v>
          </cell>
          <cell r="P141">
            <v>1</v>
          </cell>
          <cell r="Q141">
            <v>1.7</v>
          </cell>
          <cell r="R141">
            <v>5.8</v>
          </cell>
          <cell r="S141">
            <v>44.8</v>
          </cell>
          <cell r="T141">
            <v>0</v>
          </cell>
          <cell r="U141">
            <v>2.8</v>
          </cell>
          <cell r="V141">
            <v>9.3000000000000007</v>
          </cell>
          <cell r="W141">
            <v>16</v>
          </cell>
          <cell r="X141">
            <v>0</v>
          </cell>
          <cell r="Y141">
            <v>0</v>
          </cell>
          <cell r="Z141">
            <v>0</v>
          </cell>
        </row>
        <row r="142">
          <cell r="A142">
            <v>43141</v>
          </cell>
          <cell r="B142">
            <v>141</v>
          </cell>
          <cell r="C142">
            <v>106.5</v>
          </cell>
          <cell r="D142">
            <v>294.3</v>
          </cell>
          <cell r="E142">
            <v>2.76</v>
          </cell>
          <cell r="F142">
            <v>14.9</v>
          </cell>
          <cell r="G142">
            <v>3.9</v>
          </cell>
          <cell r="H142">
            <v>2.6</v>
          </cell>
          <cell r="I142">
            <v>8.5</v>
          </cell>
          <cell r="J142">
            <v>79.099999999999994</v>
          </cell>
          <cell r="K142">
            <v>2.7</v>
          </cell>
          <cell r="L142">
            <v>1.2</v>
          </cell>
          <cell r="M142">
            <v>0.3</v>
          </cell>
          <cell r="N142">
            <v>2.2999999999999998</v>
          </cell>
          <cell r="O142">
            <v>1.7</v>
          </cell>
          <cell r="P142">
            <v>0.9</v>
          </cell>
          <cell r="Q142">
            <v>0.5</v>
          </cell>
          <cell r="R142">
            <v>5.3</v>
          </cell>
          <cell r="S142">
            <v>44.8</v>
          </cell>
          <cell r="T142">
            <v>0</v>
          </cell>
          <cell r="U142">
            <v>7</v>
          </cell>
          <cell r="V142">
            <v>12.4</v>
          </cell>
          <cell r="W142">
            <v>27</v>
          </cell>
          <cell r="X142">
            <v>0</v>
          </cell>
          <cell r="Y142">
            <v>0</v>
          </cell>
          <cell r="Z142">
            <v>0</v>
          </cell>
        </row>
        <row r="143">
          <cell r="A143">
            <v>43142</v>
          </cell>
          <cell r="B143">
            <v>142</v>
          </cell>
          <cell r="C143">
            <v>142.80000000000001</v>
          </cell>
          <cell r="D143">
            <v>295.39999999999998</v>
          </cell>
          <cell r="E143">
            <v>2.0699999999999998</v>
          </cell>
          <cell r="F143">
            <v>171.2</v>
          </cell>
          <cell r="G143">
            <v>33.5</v>
          </cell>
          <cell r="H143">
            <v>30.2</v>
          </cell>
          <cell r="I143">
            <v>107.5</v>
          </cell>
          <cell r="J143">
            <v>266.2</v>
          </cell>
          <cell r="K143">
            <v>14</v>
          </cell>
          <cell r="L143">
            <v>19.399999999999999</v>
          </cell>
          <cell r="M143">
            <v>21.9</v>
          </cell>
          <cell r="N143">
            <v>8.3000000000000007</v>
          </cell>
          <cell r="O143">
            <v>26.6</v>
          </cell>
          <cell r="P143">
            <v>14.3</v>
          </cell>
          <cell r="Q143">
            <v>8.6</v>
          </cell>
          <cell r="R143">
            <v>58.1</v>
          </cell>
          <cell r="S143">
            <v>44.8</v>
          </cell>
          <cell r="T143">
            <v>0</v>
          </cell>
          <cell r="U143">
            <v>33.6</v>
          </cell>
          <cell r="V143">
            <v>16.600000000000001</v>
          </cell>
          <cell r="W143">
            <v>3</v>
          </cell>
          <cell r="X143">
            <v>0</v>
          </cell>
          <cell r="Y143">
            <v>0</v>
          </cell>
          <cell r="Z143">
            <v>0</v>
          </cell>
        </row>
        <row r="144">
          <cell r="A144">
            <v>43143</v>
          </cell>
          <cell r="B144">
            <v>143</v>
          </cell>
          <cell r="C144">
            <v>125.3</v>
          </cell>
          <cell r="D144">
            <v>346.7</v>
          </cell>
          <cell r="E144">
            <v>2.77</v>
          </cell>
          <cell r="F144">
            <v>86.8</v>
          </cell>
          <cell r="G144">
            <v>42.7</v>
          </cell>
          <cell r="H144">
            <v>3.6</v>
          </cell>
          <cell r="I144">
            <v>40.5</v>
          </cell>
          <cell r="J144">
            <v>178.2</v>
          </cell>
          <cell r="K144">
            <v>5.3</v>
          </cell>
          <cell r="L144">
            <v>37.4</v>
          </cell>
          <cell r="M144">
            <v>1.6</v>
          </cell>
          <cell r="N144">
            <v>2</v>
          </cell>
          <cell r="O144">
            <v>10.1</v>
          </cell>
          <cell r="P144">
            <v>5.4</v>
          </cell>
          <cell r="Q144">
            <v>3.3</v>
          </cell>
          <cell r="R144">
            <v>21.8</v>
          </cell>
          <cell r="S144">
            <v>0</v>
          </cell>
          <cell r="T144">
            <v>0</v>
          </cell>
          <cell r="U144">
            <v>76.900000000000006</v>
          </cell>
          <cell r="V144">
            <v>14.5</v>
          </cell>
          <cell r="W144">
            <v>24</v>
          </cell>
          <cell r="X144">
            <v>0</v>
          </cell>
          <cell r="Y144">
            <v>0</v>
          </cell>
          <cell r="Z144">
            <v>0</v>
          </cell>
        </row>
        <row r="145">
          <cell r="A145">
            <v>43144</v>
          </cell>
          <cell r="B145">
            <v>144</v>
          </cell>
          <cell r="C145">
            <v>202.6</v>
          </cell>
          <cell r="D145">
            <v>469.2</v>
          </cell>
          <cell r="E145">
            <v>2.3199999999999998</v>
          </cell>
          <cell r="F145">
            <v>100.7</v>
          </cell>
          <cell r="G145">
            <v>47.2</v>
          </cell>
          <cell r="H145">
            <v>4.4000000000000004</v>
          </cell>
          <cell r="I145">
            <v>49.1</v>
          </cell>
          <cell r="J145">
            <v>342.3</v>
          </cell>
          <cell r="K145">
            <v>38.4</v>
          </cell>
          <cell r="L145">
            <v>8.8000000000000007</v>
          </cell>
          <cell r="M145">
            <v>1.9</v>
          </cell>
          <cell r="N145">
            <v>2.5</v>
          </cell>
          <cell r="O145">
            <v>12.3</v>
          </cell>
          <cell r="P145">
            <v>6.5</v>
          </cell>
          <cell r="Q145">
            <v>4</v>
          </cell>
          <cell r="R145">
            <v>26.4</v>
          </cell>
          <cell r="S145">
            <v>0</v>
          </cell>
          <cell r="T145">
            <v>0</v>
          </cell>
          <cell r="U145">
            <v>218.1</v>
          </cell>
          <cell r="V145">
            <v>23.5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</row>
        <row r="146">
          <cell r="A146">
            <v>43145</v>
          </cell>
          <cell r="B146">
            <v>145</v>
          </cell>
          <cell r="C146">
            <v>245.5</v>
          </cell>
          <cell r="D146">
            <v>703.6</v>
          </cell>
          <cell r="E146">
            <v>2.87</v>
          </cell>
          <cell r="F146">
            <v>308.3</v>
          </cell>
          <cell r="G146">
            <v>123.3</v>
          </cell>
          <cell r="H146">
            <v>10.8</v>
          </cell>
          <cell r="I146">
            <v>174.2</v>
          </cell>
          <cell r="J146">
            <v>389.9</v>
          </cell>
          <cell r="K146">
            <v>79.599999999999994</v>
          </cell>
          <cell r="L146">
            <v>43.7</v>
          </cell>
          <cell r="M146">
            <v>2.2000000000000002</v>
          </cell>
          <cell r="N146">
            <v>8.6</v>
          </cell>
          <cell r="O146">
            <v>113.6</v>
          </cell>
          <cell r="P146">
            <v>7.3</v>
          </cell>
          <cell r="Q146">
            <v>23.6</v>
          </cell>
          <cell r="R146">
            <v>29.7</v>
          </cell>
          <cell r="S146">
            <v>0</v>
          </cell>
          <cell r="T146">
            <v>0</v>
          </cell>
          <cell r="U146">
            <v>53.1</v>
          </cell>
          <cell r="V146">
            <v>28.5</v>
          </cell>
          <cell r="W146">
            <v>33</v>
          </cell>
          <cell r="X146">
            <v>0</v>
          </cell>
          <cell r="Y146">
            <v>0</v>
          </cell>
          <cell r="Z146">
            <v>0</v>
          </cell>
        </row>
        <row r="147">
          <cell r="A147">
            <v>43146</v>
          </cell>
          <cell r="B147">
            <v>146</v>
          </cell>
          <cell r="C147">
            <v>194.6</v>
          </cell>
          <cell r="D147">
            <v>328.7</v>
          </cell>
          <cell r="E147">
            <v>1.69</v>
          </cell>
          <cell r="F147">
            <v>162.19999999999999</v>
          </cell>
          <cell r="G147">
            <v>66.5</v>
          </cell>
          <cell r="H147">
            <v>2.6</v>
          </cell>
          <cell r="I147">
            <v>93.1</v>
          </cell>
          <cell r="J147">
            <v>237.9</v>
          </cell>
          <cell r="K147">
            <v>26.8</v>
          </cell>
          <cell r="L147">
            <v>39.700000000000003</v>
          </cell>
          <cell r="M147">
            <v>1.2</v>
          </cell>
          <cell r="N147">
            <v>1.5</v>
          </cell>
          <cell r="O147">
            <v>9.1999999999999993</v>
          </cell>
          <cell r="P147">
            <v>35.299999999999997</v>
          </cell>
          <cell r="Q147">
            <v>2.4</v>
          </cell>
          <cell r="R147">
            <v>46.3</v>
          </cell>
          <cell r="S147">
            <v>0</v>
          </cell>
          <cell r="T147">
            <v>0</v>
          </cell>
          <cell r="U147">
            <v>53.1</v>
          </cell>
          <cell r="V147">
            <v>22.6</v>
          </cell>
          <cell r="W147">
            <v>28</v>
          </cell>
          <cell r="X147">
            <v>0</v>
          </cell>
          <cell r="Y147">
            <v>0</v>
          </cell>
          <cell r="Z147">
            <v>0</v>
          </cell>
        </row>
        <row r="148">
          <cell r="A148">
            <v>43147</v>
          </cell>
          <cell r="B148">
            <v>147</v>
          </cell>
          <cell r="C148">
            <v>135.30000000000001</v>
          </cell>
          <cell r="D148">
            <v>289.8</v>
          </cell>
          <cell r="E148">
            <v>2.14</v>
          </cell>
          <cell r="F148">
            <v>22</v>
          </cell>
          <cell r="G148">
            <v>3.7</v>
          </cell>
          <cell r="H148">
            <v>1.1000000000000001</v>
          </cell>
          <cell r="I148">
            <v>17.2</v>
          </cell>
          <cell r="J148">
            <v>44.7</v>
          </cell>
          <cell r="K148">
            <v>1.6</v>
          </cell>
          <cell r="L148">
            <v>2.1</v>
          </cell>
          <cell r="M148">
            <v>0.5</v>
          </cell>
          <cell r="N148">
            <v>0.6</v>
          </cell>
          <cell r="O148">
            <v>3</v>
          </cell>
          <cell r="P148">
            <v>1.6</v>
          </cell>
          <cell r="Q148">
            <v>1</v>
          </cell>
          <cell r="R148">
            <v>11.7</v>
          </cell>
          <cell r="S148">
            <v>0</v>
          </cell>
          <cell r="T148">
            <v>0</v>
          </cell>
          <cell r="U148">
            <v>7</v>
          </cell>
          <cell r="V148">
            <v>15.7</v>
          </cell>
          <cell r="W148">
            <v>4</v>
          </cell>
          <cell r="X148">
            <v>0</v>
          </cell>
          <cell r="Y148">
            <v>0</v>
          </cell>
          <cell r="Z148">
            <v>0</v>
          </cell>
        </row>
        <row r="149">
          <cell r="A149">
            <v>43148</v>
          </cell>
          <cell r="B149">
            <v>148</v>
          </cell>
          <cell r="C149">
            <v>127.3</v>
          </cell>
          <cell r="D149">
            <v>339.2</v>
          </cell>
          <cell r="E149">
            <v>2.66</v>
          </cell>
          <cell r="F149">
            <v>133.30000000000001</v>
          </cell>
          <cell r="G149">
            <v>18.899999999999999</v>
          </cell>
          <cell r="H149">
            <v>53.8</v>
          </cell>
          <cell r="I149">
            <v>60.6</v>
          </cell>
          <cell r="J149">
            <v>197.1</v>
          </cell>
          <cell r="K149">
            <v>8</v>
          </cell>
          <cell r="L149">
            <v>10.9</v>
          </cell>
          <cell r="M149">
            <v>28.6</v>
          </cell>
          <cell r="N149">
            <v>25.2</v>
          </cell>
          <cell r="O149">
            <v>15.1</v>
          </cell>
          <cell r="P149">
            <v>8.1</v>
          </cell>
          <cell r="Q149">
            <v>4.9000000000000004</v>
          </cell>
          <cell r="R149">
            <v>32.700000000000003</v>
          </cell>
          <cell r="S149">
            <v>22.4</v>
          </cell>
          <cell r="T149">
            <v>0</v>
          </cell>
          <cell r="U149">
            <v>26.6</v>
          </cell>
          <cell r="V149">
            <v>14.8</v>
          </cell>
          <cell r="W149">
            <v>8</v>
          </cell>
          <cell r="X149">
            <v>0</v>
          </cell>
          <cell r="Y149">
            <v>0</v>
          </cell>
          <cell r="Z149">
            <v>0</v>
          </cell>
        </row>
        <row r="150">
          <cell r="A150">
            <v>43149</v>
          </cell>
          <cell r="B150">
            <v>149</v>
          </cell>
          <cell r="C150">
            <v>190.7</v>
          </cell>
          <cell r="D150">
            <v>391.8</v>
          </cell>
          <cell r="E150">
            <v>2.06</v>
          </cell>
          <cell r="F150">
            <v>158.6</v>
          </cell>
          <cell r="G150">
            <v>52.5</v>
          </cell>
          <cell r="H150">
            <v>16.5</v>
          </cell>
          <cell r="I150">
            <v>89.5</v>
          </cell>
          <cell r="J150">
            <v>286.89999999999998</v>
          </cell>
          <cell r="K150">
            <v>40</v>
          </cell>
          <cell r="L150">
            <v>12.5</v>
          </cell>
          <cell r="M150">
            <v>2.8</v>
          </cell>
          <cell r="N150">
            <v>13.8</v>
          </cell>
          <cell r="O150">
            <v>20.8</v>
          </cell>
          <cell r="P150">
            <v>9.3000000000000007</v>
          </cell>
          <cell r="Q150">
            <v>21.8</v>
          </cell>
          <cell r="R150">
            <v>37.700000000000003</v>
          </cell>
          <cell r="S150">
            <v>0</v>
          </cell>
          <cell r="T150">
            <v>0</v>
          </cell>
          <cell r="U150">
            <v>106.2</v>
          </cell>
          <cell r="V150">
            <v>22.1</v>
          </cell>
          <cell r="W150">
            <v>3</v>
          </cell>
          <cell r="X150">
            <v>0</v>
          </cell>
          <cell r="Y150">
            <v>0</v>
          </cell>
          <cell r="Z150">
            <v>0</v>
          </cell>
        </row>
        <row r="151">
          <cell r="A151">
            <v>43150</v>
          </cell>
          <cell r="B151">
            <v>150</v>
          </cell>
          <cell r="C151">
            <v>337.7</v>
          </cell>
          <cell r="D151">
            <v>887</v>
          </cell>
          <cell r="E151">
            <v>2.63</v>
          </cell>
          <cell r="F151">
            <v>940.9</v>
          </cell>
          <cell r="G151">
            <v>105</v>
          </cell>
          <cell r="H151">
            <v>142.4</v>
          </cell>
          <cell r="I151">
            <v>693.5</v>
          </cell>
          <cell r="J151">
            <v>1047.2</v>
          </cell>
          <cell r="K151">
            <v>33.700000000000003</v>
          </cell>
          <cell r="L151">
            <v>71.3</v>
          </cell>
          <cell r="M151">
            <v>107.7</v>
          </cell>
          <cell r="N151">
            <v>34.799999999999997</v>
          </cell>
          <cell r="O151">
            <v>42.6</v>
          </cell>
          <cell r="P151">
            <v>296.60000000000002</v>
          </cell>
          <cell r="Q151">
            <v>13.8</v>
          </cell>
          <cell r="R151">
            <v>340.4</v>
          </cell>
          <cell r="S151">
            <v>0</v>
          </cell>
          <cell r="T151">
            <v>0</v>
          </cell>
          <cell r="U151">
            <v>67.099999999999994</v>
          </cell>
          <cell r="V151">
            <v>39.200000000000003</v>
          </cell>
          <cell r="W151">
            <v>49</v>
          </cell>
          <cell r="X151">
            <v>0</v>
          </cell>
          <cell r="Y151">
            <v>0</v>
          </cell>
          <cell r="Z151">
            <v>0</v>
          </cell>
        </row>
        <row r="152">
          <cell r="A152">
            <v>43151</v>
          </cell>
          <cell r="B152">
            <v>151</v>
          </cell>
          <cell r="C152">
            <v>32.4</v>
          </cell>
          <cell r="D152">
            <v>110.4</v>
          </cell>
          <cell r="E152">
            <v>3.4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22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18.2</v>
          </cell>
          <cell r="V152">
            <v>3.8</v>
          </cell>
          <cell r="W152">
            <v>5</v>
          </cell>
          <cell r="X152">
            <v>0</v>
          </cell>
          <cell r="Y152">
            <v>0</v>
          </cell>
          <cell r="Z152">
            <v>0</v>
          </cell>
        </row>
        <row r="153">
          <cell r="A153">
            <v>43152</v>
          </cell>
          <cell r="B153">
            <v>152</v>
          </cell>
          <cell r="C153">
            <v>44.1</v>
          </cell>
          <cell r="D153">
            <v>148.80000000000001</v>
          </cell>
          <cell r="E153">
            <v>3.38</v>
          </cell>
          <cell r="F153">
            <v>2.5</v>
          </cell>
          <cell r="G153">
            <v>0.5</v>
          </cell>
          <cell r="H153">
            <v>0.2</v>
          </cell>
          <cell r="I153">
            <v>1.8</v>
          </cell>
          <cell r="J153">
            <v>23.2</v>
          </cell>
          <cell r="K153">
            <v>0.2</v>
          </cell>
          <cell r="L153">
            <v>0.3</v>
          </cell>
          <cell r="M153">
            <v>0.1</v>
          </cell>
          <cell r="N153">
            <v>0.1</v>
          </cell>
          <cell r="O153">
            <v>0.5</v>
          </cell>
          <cell r="P153">
            <v>0.2</v>
          </cell>
          <cell r="Q153">
            <v>0.1</v>
          </cell>
          <cell r="R153">
            <v>1</v>
          </cell>
          <cell r="S153">
            <v>4.5</v>
          </cell>
          <cell r="T153">
            <v>0</v>
          </cell>
          <cell r="U153">
            <v>11.2</v>
          </cell>
          <cell r="V153">
            <v>5.0999999999999996</v>
          </cell>
          <cell r="W153">
            <v>5</v>
          </cell>
          <cell r="X153">
            <v>0</v>
          </cell>
          <cell r="Y153">
            <v>0</v>
          </cell>
          <cell r="Z153">
            <v>0</v>
          </cell>
        </row>
        <row r="154">
          <cell r="A154">
            <v>43153</v>
          </cell>
          <cell r="B154">
            <v>153</v>
          </cell>
          <cell r="C154">
            <v>444.6</v>
          </cell>
          <cell r="D154">
            <v>1111</v>
          </cell>
          <cell r="E154">
            <v>2.5</v>
          </cell>
          <cell r="F154">
            <v>91.6</v>
          </cell>
          <cell r="G154">
            <v>17.899999999999999</v>
          </cell>
          <cell r="H154">
            <v>2.9</v>
          </cell>
          <cell r="I154">
            <v>70.900000000000006</v>
          </cell>
          <cell r="J154">
            <v>263.5</v>
          </cell>
          <cell r="K154">
            <v>3</v>
          </cell>
          <cell r="L154">
            <v>14.9</v>
          </cell>
          <cell r="M154">
            <v>1.8</v>
          </cell>
          <cell r="N154">
            <v>1.1000000000000001</v>
          </cell>
          <cell r="O154">
            <v>5.5</v>
          </cell>
          <cell r="P154">
            <v>3</v>
          </cell>
          <cell r="Q154">
            <v>3.6</v>
          </cell>
          <cell r="R154">
            <v>58.9</v>
          </cell>
          <cell r="S154">
            <v>0</v>
          </cell>
          <cell r="T154">
            <v>0</v>
          </cell>
          <cell r="U154">
            <v>120.2</v>
          </cell>
          <cell r="V154">
            <v>51.6</v>
          </cell>
          <cell r="W154">
            <v>74</v>
          </cell>
          <cell r="X154">
            <v>0</v>
          </cell>
          <cell r="Y154">
            <v>0</v>
          </cell>
          <cell r="Z154">
            <v>0</v>
          </cell>
        </row>
        <row r="155">
          <cell r="A155">
            <v>43154</v>
          </cell>
          <cell r="B155">
            <v>154</v>
          </cell>
          <cell r="C155">
            <v>277.89999999999998</v>
          </cell>
          <cell r="D155">
            <v>668.3</v>
          </cell>
          <cell r="E155">
            <v>2.4</v>
          </cell>
          <cell r="F155">
            <v>85.5</v>
          </cell>
          <cell r="G155">
            <v>4.9000000000000004</v>
          </cell>
          <cell r="H155">
            <v>1.4</v>
          </cell>
          <cell r="I155">
            <v>79.2</v>
          </cell>
          <cell r="J155">
            <v>281.89999999999998</v>
          </cell>
          <cell r="K155">
            <v>2.1</v>
          </cell>
          <cell r="L155">
            <v>2.8</v>
          </cell>
          <cell r="M155">
            <v>0.6</v>
          </cell>
          <cell r="N155">
            <v>0.8</v>
          </cell>
          <cell r="O155">
            <v>14.1</v>
          </cell>
          <cell r="P155">
            <v>2.1</v>
          </cell>
          <cell r="Q155">
            <v>1.3</v>
          </cell>
          <cell r="R155">
            <v>61.7</v>
          </cell>
          <cell r="S155">
            <v>8.9</v>
          </cell>
          <cell r="T155">
            <v>0</v>
          </cell>
          <cell r="U155">
            <v>155.19999999999999</v>
          </cell>
          <cell r="V155">
            <v>32.299999999999997</v>
          </cell>
          <cell r="W155">
            <v>16</v>
          </cell>
          <cell r="X155">
            <v>0</v>
          </cell>
          <cell r="Y155">
            <v>0</v>
          </cell>
          <cell r="Z155">
            <v>0</v>
          </cell>
        </row>
        <row r="156">
          <cell r="A156">
            <v>43155</v>
          </cell>
          <cell r="B156">
            <v>155</v>
          </cell>
          <cell r="C156">
            <v>87.3</v>
          </cell>
          <cell r="D156">
            <v>218.4</v>
          </cell>
          <cell r="E156">
            <v>2.5</v>
          </cell>
          <cell r="F156">
            <v>14.9</v>
          </cell>
          <cell r="G156">
            <v>1.7</v>
          </cell>
          <cell r="H156">
            <v>1.3</v>
          </cell>
          <cell r="I156">
            <v>11.9</v>
          </cell>
          <cell r="J156">
            <v>40.4</v>
          </cell>
          <cell r="K156">
            <v>0.7</v>
          </cell>
          <cell r="L156">
            <v>1</v>
          </cell>
          <cell r="M156">
            <v>0.2</v>
          </cell>
          <cell r="N156">
            <v>1.1000000000000001</v>
          </cell>
          <cell r="O156">
            <v>7.7</v>
          </cell>
          <cell r="P156">
            <v>0.7</v>
          </cell>
          <cell r="Q156">
            <v>0.4</v>
          </cell>
          <cell r="R156">
            <v>3</v>
          </cell>
          <cell r="S156">
            <v>0</v>
          </cell>
          <cell r="T156">
            <v>0</v>
          </cell>
          <cell r="U156">
            <v>15.4</v>
          </cell>
          <cell r="V156">
            <v>10.1</v>
          </cell>
          <cell r="W156">
            <v>7</v>
          </cell>
          <cell r="X156">
            <v>0</v>
          </cell>
          <cell r="Y156">
            <v>0</v>
          </cell>
          <cell r="Z156">
            <v>0</v>
          </cell>
        </row>
        <row r="157">
          <cell r="A157">
            <v>43156</v>
          </cell>
          <cell r="B157">
            <v>156</v>
          </cell>
          <cell r="C157">
            <v>30</v>
          </cell>
          <cell r="D157">
            <v>71.099999999999994</v>
          </cell>
          <cell r="E157">
            <v>2.37</v>
          </cell>
          <cell r="F157">
            <v>9.1999999999999993</v>
          </cell>
          <cell r="G157">
            <v>0.1</v>
          </cell>
          <cell r="H157">
            <v>0</v>
          </cell>
          <cell r="I157">
            <v>9.1</v>
          </cell>
          <cell r="J157">
            <v>18.3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0.1</v>
          </cell>
          <cell r="P157">
            <v>0</v>
          </cell>
          <cell r="Q157">
            <v>0</v>
          </cell>
          <cell r="R157">
            <v>9</v>
          </cell>
          <cell r="S157">
            <v>0</v>
          </cell>
          <cell r="T157">
            <v>0</v>
          </cell>
          <cell r="U157">
            <v>5.6</v>
          </cell>
          <cell r="V157">
            <v>3.5</v>
          </cell>
          <cell r="W157">
            <v>63</v>
          </cell>
          <cell r="X157">
            <v>0</v>
          </cell>
          <cell r="Y157">
            <v>0</v>
          </cell>
          <cell r="Z157">
            <v>0</v>
          </cell>
        </row>
        <row r="158">
          <cell r="A158">
            <v>43157</v>
          </cell>
          <cell r="B158">
            <v>157</v>
          </cell>
          <cell r="C158">
            <v>3.6</v>
          </cell>
          <cell r="D158">
            <v>7.2</v>
          </cell>
          <cell r="E158">
            <v>2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0.4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0.4</v>
          </cell>
          <cell r="W158">
            <v>4</v>
          </cell>
          <cell r="X158">
            <v>0</v>
          </cell>
          <cell r="Y158">
            <v>0</v>
          </cell>
          <cell r="Z158">
            <v>0</v>
          </cell>
        </row>
        <row r="159">
          <cell r="A159">
            <v>43158</v>
          </cell>
          <cell r="B159">
            <v>158</v>
          </cell>
          <cell r="C159">
            <v>76.099999999999994</v>
          </cell>
          <cell r="D159">
            <v>163.5</v>
          </cell>
          <cell r="E159">
            <v>2.15</v>
          </cell>
          <cell r="F159">
            <v>1.1000000000000001</v>
          </cell>
          <cell r="G159">
            <v>0</v>
          </cell>
          <cell r="H159">
            <v>0</v>
          </cell>
          <cell r="I159">
            <v>1</v>
          </cell>
          <cell r="J159">
            <v>137.5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0.9</v>
          </cell>
          <cell r="R159">
            <v>0.1</v>
          </cell>
          <cell r="S159">
            <v>0</v>
          </cell>
          <cell r="T159">
            <v>24.2</v>
          </cell>
          <cell r="U159">
            <v>103.5</v>
          </cell>
          <cell r="V159">
            <v>8.8000000000000007</v>
          </cell>
          <cell r="W159">
            <v>8</v>
          </cell>
          <cell r="X159">
            <v>0</v>
          </cell>
          <cell r="Y159">
            <v>0</v>
          </cell>
          <cell r="Z159">
            <v>0</v>
          </cell>
        </row>
        <row r="160">
          <cell r="A160">
            <v>43159</v>
          </cell>
          <cell r="B160">
            <v>159</v>
          </cell>
          <cell r="C160">
            <v>150.9</v>
          </cell>
          <cell r="D160">
            <v>400.8</v>
          </cell>
          <cell r="E160">
            <v>2.66</v>
          </cell>
          <cell r="F160">
            <v>11.6</v>
          </cell>
          <cell r="G160">
            <v>0.3</v>
          </cell>
          <cell r="H160">
            <v>0.1</v>
          </cell>
          <cell r="I160">
            <v>11.2</v>
          </cell>
          <cell r="J160">
            <v>105.2</v>
          </cell>
          <cell r="K160">
            <v>0.1</v>
          </cell>
          <cell r="L160">
            <v>0.2</v>
          </cell>
          <cell r="M160">
            <v>0</v>
          </cell>
          <cell r="N160">
            <v>0.1</v>
          </cell>
          <cell r="O160">
            <v>0.3</v>
          </cell>
          <cell r="P160">
            <v>7</v>
          </cell>
          <cell r="Q160">
            <v>0.1</v>
          </cell>
          <cell r="R160">
            <v>3.9</v>
          </cell>
          <cell r="S160">
            <v>8.9</v>
          </cell>
          <cell r="T160">
            <v>0</v>
          </cell>
          <cell r="U160">
            <v>67.099999999999994</v>
          </cell>
          <cell r="V160">
            <v>17.5</v>
          </cell>
          <cell r="W160">
            <v>11</v>
          </cell>
          <cell r="X160">
            <v>0</v>
          </cell>
          <cell r="Y160">
            <v>0</v>
          </cell>
          <cell r="Z160">
            <v>0</v>
          </cell>
        </row>
        <row r="161">
          <cell r="A161">
            <v>43160</v>
          </cell>
          <cell r="B161">
            <v>160</v>
          </cell>
          <cell r="C161">
            <v>161</v>
          </cell>
          <cell r="D161">
            <v>621</v>
          </cell>
          <cell r="E161">
            <v>3.86</v>
          </cell>
          <cell r="F161">
            <v>10.199999999999999</v>
          </cell>
          <cell r="G161">
            <v>2.2000000000000002</v>
          </cell>
          <cell r="H161">
            <v>0.7</v>
          </cell>
          <cell r="I161">
            <v>7.3</v>
          </cell>
          <cell r="J161">
            <v>160.9</v>
          </cell>
          <cell r="K161">
            <v>0.9</v>
          </cell>
          <cell r="L161">
            <v>1.4</v>
          </cell>
          <cell r="M161">
            <v>0.3</v>
          </cell>
          <cell r="N161">
            <v>0.4</v>
          </cell>
          <cell r="O161">
            <v>1.9</v>
          </cell>
          <cell r="P161">
            <v>1</v>
          </cell>
          <cell r="Q161">
            <v>0.6</v>
          </cell>
          <cell r="R161">
            <v>3.9</v>
          </cell>
          <cell r="S161">
            <v>8.9</v>
          </cell>
          <cell r="T161">
            <v>0</v>
          </cell>
          <cell r="U161">
            <v>123</v>
          </cell>
          <cell r="V161">
            <v>18.7</v>
          </cell>
          <cell r="W161">
            <v>24</v>
          </cell>
          <cell r="X161">
            <v>0</v>
          </cell>
          <cell r="Y161">
            <v>0</v>
          </cell>
          <cell r="Z161">
            <v>0</v>
          </cell>
        </row>
        <row r="162">
          <cell r="A162">
            <v>43161</v>
          </cell>
          <cell r="B162">
            <v>161</v>
          </cell>
          <cell r="C162">
            <v>87.5</v>
          </cell>
          <cell r="D162">
            <v>216.2</v>
          </cell>
          <cell r="E162">
            <v>2.4700000000000002</v>
          </cell>
          <cell r="F162">
            <v>10.199999999999999</v>
          </cell>
          <cell r="G162">
            <v>0.1</v>
          </cell>
          <cell r="H162">
            <v>0.9</v>
          </cell>
          <cell r="I162">
            <v>9.1999999999999993</v>
          </cell>
          <cell r="J162">
            <v>32.1</v>
          </cell>
          <cell r="K162">
            <v>0</v>
          </cell>
          <cell r="L162">
            <v>0</v>
          </cell>
          <cell r="M162">
            <v>0</v>
          </cell>
          <cell r="N162">
            <v>0.9</v>
          </cell>
          <cell r="O162">
            <v>0.1</v>
          </cell>
          <cell r="P162">
            <v>0</v>
          </cell>
          <cell r="Q162">
            <v>0</v>
          </cell>
          <cell r="R162">
            <v>9.1</v>
          </cell>
          <cell r="S162">
            <v>8.9</v>
          </cell>
          <cell r="T162">
            <v>0</v>
          </cell>
          <cell r="U162">
            <v>2.8</v>
          </cell>
          <cell r="V162">
            <v>10.199999999999999</v>
          </cell>
          <cell r="W162">
            <v>3</v>
          </cell>
          <cell r="X162">
            <v>0</v>
          </cell>
          <cell r="Y162">
            <v>0</v>
          </cell>
          <cell r="Z162">
            <v>0</v>
          </cell>
        </row>
        <row r="163">
          <cell r="A163">
            <v>43162</v>
          </cell>
          <cell r="B163">
            <v>162</v>
          </cell>
          <cell r="C163">
            <v>5.7</v>
          </cell>
          <cell r="D163">
            <v>19</v>
          </cell>
          <cell r="E163">
            <v>3.31</v>
          </cell>
          <cell r="F163">
            <v>7.7</v>
          </cell>
          <cell r="G163">
            <v>0.1</v>
          </cell>
          <cell r="H163">
            <v>0</v>
          </cell>
          <cell r="I163">
            <v>7.5</v>
          </cell>
          <cell r="J163">
            <v>14.3</v>
          </cell>
          <cell r="K163">
            <v>0.1</v>
          </cell>
          <cell r="L163">
            <v>0.1</v>
          </cell>
          <cell r="M163">
            <v>0</v>
          </cell>
          <cell r="N163">
            <v>0</v>
          </cell>
          <cell r="O163">
            <v>0.1</v>
          </cell>
          <cell r="P163">
            <v>0.1</v>
          </cell>
          <cell r="Q163">
            <v>0</v>
          </cell>
          <cell r="R163">
            <v>7.3</v>
          </cell>
          <cell r="S163">
            <v>4.5</v>
          </cell>
          <cell r="T163">
            <v>0</v>
          </cell>
          <cell r="U163">
            <v>1.4</v>
          </cell>
          <cell r="V163">
            <v>0.7</v>
          </cell>
          <cell r="W163">
            <v>1</v>
          </cell>
          <cell r="X163">
            <v>0</v>
          </cell>
          <cell r="Y163">
            <v>0</v>
          </cell>
          <cell r="Z163">
            <v>0</v>
          </cell>
        </row>
        <row r="164">
          <cell r="A164">
            <v>43163</v>
          </cell>
          <cell r="B164">
            <v>163</v>
          </cell>
          <cell r="C164">
            <v>65.5</v>
          </cell>
          <cell r="D164">
            <v>164.4</v>
          </cell>
          <cell r="E164">
            <v>2.5099999999999998</v>
          </cell>
          <cell r="F164">
            <v>24.1</v>
          </cell>
          <cell r="G164">
            <v>1.8</v>
          </cell>
          <cell r="H164">
            <v>0.5</v>
          </cell>
          <cell r="I164">
            <v>21.8</v>
          </cell>
          <cell r="J164">
            <v>40.4</v>
          </cell>
          <cell r="K164">
            <v>0.8</v>
          </cell>
          <cell r="L164">
            <v>1</v>
          </cell>
          <cell r="M164">
            <v>0.2</v>
          </cell>
          <cell r="N164">
            <v>0.3</v>
          </cell>
          <cell r="O164">
            <v>1.4</v>
          </cell>
          <cell r="P164">
            <v>0.8</v>
          </cell>
          <cell r="Q164">
            <v>0.5</v>
          </cell>
          <cell r="R164">
            <v>19.100000000000001</v>
          </cell>
          <cell r="S164">
            <v>4.5</v>
          </cell>
          <cell r="T164">
            <v>0</v>
          </cell>
          <cell r="U164">
            <v>4.2</v>
          </cell>
          <cell r="V164">
            <v>7.6</v>
          </cell>
          <cell r="W164">
            <v>8</v>
          </cell>
          <cell r="X164">
            <v>0</v>
          </cell>
          <cell r="Y164">
            <v>6</v>
          </cell>
          <cell r="Z164">
            <v>0</v>
          </cell>
        </row>
        <row r="165">
          <cell r="A165">
            <v>43164</v>
          </cell>
          <cell r="B165">
            <v>164</v>
          </cell>
          <cell r="C165">
            <v>16.3</v>
          </cell>
          <cell r="D165">
            <v>41.7</v>
          </cell>
          <cell r="E165">
            <v>2.57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1.9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1.9</v>
          </cell>
          <cell r="W165">
            <v>5</v>
          </cell>
          <cell r="X165">
            <v>0</v>
          </cell>
          <cell r="Y165">
            <v>0</v>
          </cell>
          <cell r="Z165">
            <v>0</v>
          </cell>
        </row>
        <row r="166">
          <cell r="A166">
            <v>43165</v>
          </cell>
          <cell r="B166">
            <v>165</v>
          </cell>
          <cell r="C166">
            <v>8.6</v>
          </cell>
          <cell r="D166">
            <v>24.5</v>
          </cell>
          <cell r="E166">
            <v>2.84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2.4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1.4</v>
          </cell>
          <cell r="V166">
            <v>1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</row>
        <row r="167">
          <cell r="A167">
            <v>43166</v>
          </cell>
          <cell r="B167">
            <v>166</v>
          </cell>
          <cell r="C167">
            <v>12.1</v>
          </cell>
          <cell r="D167">
            <v>40.299999999999997</v>
          </cell>
          <cell r="E167">
            <v>3.33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2.8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1.4</v>
          </cell>
          <cell r="V167">
            <v>1.4</v>
          </cell>
          <cell r="W167">
            <v>2</v>
          </cell>
          <cell r="X167">
            <v>0</v>
          </cell>
          <cell r="Y167">
            <v>0</v>
          </cell>
          <cell r="Z167">
            <v>0</v>
          </cell>
        </row>
        <row r="168">
          <cell r="A168">
            <v>43167</v>
          </cell>
          <cell r="B168">
            <v>167</v>
          </cell>
          <cell r="C168">
            <v>45.2</v>
          </cell>
          <cell r="D168">
            <v>168.3</v>
          </cell>
          <cell r="E168">
            <v>3.72</v>
          </cell>
          <cell r="F168">
            <v>1</v>
          </cell>
          <cell r="G168">
            <v>0.2</v>
          </cell>
          <cell r="H168">
            <v>0.1</v>
          </cell>
          <cell r="I168">
            <v>0.7</v>
          </cell>
          <cell r="J168">
            <v>69.3</v>
          </cell>
          <cell r="K168">
            <v>0.1</v>
          </cell>
          <cell r="L168">
            <v>0.1</v>
          </cell>
          <cell r="M168">
            <v>0</v>
          </cell>
          <cell r="N168">
            <v>0</v>
          </cell>
          <cell r="O168">
            <v>0.2</v>
          </cell>
          <cell r="P168">
            <v>0.1</v>
          </cell>
          <cell r="Q168">
            <v>0.1</v>
          </cell>
          <cell r="R168">
            <v>0.4</v>
          </cell>
          <cell r="S168">
            <v>44.8</v>
          </cell>
          <cell r="T168">
            <v>0</v>
          </cell>
          <cell r="U168">
            <v>18.2</v>
          </cell>
          <cell r="V168">
            <v>5.3</v>
          </cell>
          <cell r="W168">
            <v>8</v>
          </cell>
          <cell r="X168">
            <v>0</v>
          </cell>
          <cell r="Y168">
            <v>0</v>
          </cell>
          <cell r="Z168">
            <v>0</v>
          </cell>
        </row>
        <row r="169">
          <cell r="A169">
            <v>43168</v>
          </cell>
          <cell r="B169">
            <v>168</v>
          </cell>
          <cell r="C169">
            <v>153.19999999999999</v>
          </cell>
          <cell r="D169">
            <v>361.2</v>
          </cell>
          <cell r="E169">
            <v>2.36</v>
          </cell>
          <cell r="F169">
            <v>10.6</v>
          </cell>
          <cell r="G169">
            <v>0.9</v>
          </cell>
          <cell r="H169">
            <v>3</v>
          </cell>
          <cell r="I169">
            <v>6.6</v>
          </cell>
          <cell r="J169">
            <v>137.5</v>
          </cell>
          <cell r="K169">
            <v>0.4</v>
          </cell>
          <cell r="L169">
            <v>0.5</v>
          </cell>
          <cell r="M169">
            <v>0.1</v>
          </cell>
          <cell r="N169">
            <v>2.9</v>
          </cell>
          <cell r="O169">
            <v>2.9</v>
          </cell>
          <cell r="P169">
            <v>0.4</v>
          </cell>
          <cell r="Q169">
            <v>0.2</v>
          </cell>
          <cell r="R169">
            <v>3.1</v>
          </cell>
          <cell r="S169">
            <v>0</v>
          </cell>
          <cell r="T169">
            <v>0</v>
          </cell>
          <cell r="U169">
            <v>109</v>
          </cell>
          <cell r="V169">
            <v>17.8</v>
          </cell>
          <cell r="W169">
            <v>18</v>
          </cell>
          <cell r="X169">
            <v>0</v>
          </cell>
          <cell r="Y169">
            <v>0</v>
          </cell>
          <cell r="Z169">
            <v>0</v>
          </cell>
        </row>
        <row r="170">
          <cell r="A170">
            <v>43169</v>
          </cell>
          <cell r="B170">
            <v>169</v>
          </cell>
          <cell r="C170">
            <v>37.200000000000003</v>
          </cell>
          <cell r="D170">
            <v>90.3</v>
          </cell>
          <cell r="E170">
            <v>2.4300000000000002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46.2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41.9</v>
          </cell>
          <cell r="V170">
            <v>4.3</v>
          </cell>
          <cell r="W170">
            <v>5</v>
          </cell>
          <cell r="X170">
            <v>0</v>
          </cell>
          <cell r="Y170">
            <v>0</v>
          </cell>
          <cell r="Z170">
            <v>0</v>
          </cell>
        </row>
        <row r="171">
          <cell r="A171">
            <v>43170</v>
          </cell>
          <cell r="B171">
            <v>170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1</v>
          </cell>
          <cell r="X171">
            <v>0</v>
          </cell>
          <cell r="Y171">
            <v>0</v>
          </cell>
          <cell r="Z171">
            <v>0</v>
          </cell>
        </row>
        <row r="172">
          <cell r="A172">
            <v>43171</v>
          </cell>
          <cell r="B172">
            <v>171</v>
          </cell>
          <cell r="C172">
            <v>11.8</v>
          </cell>
          <cell r="D172">
            <v>33.5</v>
          </cell>
          <cell r="E172">
            <v>2.84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5.6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4.2</v>
          </cell>
          <cell r="V172">
            <v>1.4</v>
          </cell>
          <cell r="W172">
            <v>2</v>
          </cell>
          <cell r="X172">
            <v>0</v>
          </cell>
          <cell r="Y172">
            <v>0</v>
          </cell>
          <cell r="Z172">
            <v>0</v>
          </cell>
        </row>
        <row r="173">
          <cell r="A173">
            <v>43172</v>
          </cell>
          <cell r="B173">
            <v>172</v>
          </cell>
          <cell r="C173">
            <v>277.89999999999998</v>
          </cell>
          <cell r="D173">
            <v>862.3</v>
          </cell>
          <cell r="E173">
            <v>3.1</v>
          </cell>
          <cell r="F173">
            <v>30.6</v>
          </cell>
          <cell r="G173">
            <v>1.9</v>
          </cell>
          <cell r="H173">
            <v>3.3</v>
          </cell>
          <cell r="I173">
            <v>25.4</v>
          </cell>
          <cell r="J173">
            <v>211.7</v>
          </cell>
          <cell r="K173">
            <v>0.8</v>
          </cell>
          <cell r="L173">
            <v>1.1000000000000001</v>
          </cell>
          <cell r="M173">
            <v>0.2</v>
          </cell>
          <cell r="N173">
            <v>3</v>
          </cell>
          <cell r="O173">
            <v>3.3</v>
          </cell>
          <cell r="P173">
            <v>18.2</v>
          </cell>
          <cell r="Q173">
            <v>0.5</v>
          </cell>
          <cell r="R173">
            <v>3.3</v>
          </cell>
          <cell r="S173">
            <v>8.9</v>
          </cell>
          <cell r="T173">
            <v>0</v>
          </cell>
          <cell r="U173">
            <v>139.80000000000001</v>
          </cell>
          <cell r="V173">
            <v>32.299999999999997</v>
          </cell>
          <cell r="W173">
            <v>40</v>
          </cell>
          <cell r="X173">
            <v>0</v>
          </cell>
          <cell r="Y173">
            <v>0</v>
          </cell>
          <cell r="Z173">
            <v>0</v>
          </cell>
        </row>
        <row r="174">
          <cell r="A174">
            <v>43173</v>
          </cell>
          <cell r="B174">
            <v>173</v>
          </cell>
          <cell r="C174">
            <v>6.2</v>
          </cell>
          <cell r="D174">
            <v>14.4</v>
          </cell>
          <cell r="E174">
            <v>2.2999999999999998</v>
          </cell>
          <cell r="F174">
            <v>1.9</v>
          </cell>
          <cell r="G174">
            <v>0.4</v>
          </cell>
          <cell r="H174">
            <v>0.1</v>
          </cell>
          <cell r="I174">
            <v>1.3</v>
          </cell>
          <cell r="J174">
            <v>30.6</v>
          </cell>
          <cell r="K174">
            <v>0.2</v>
          </cell>
          <cell r="L174">
            <v>0.2</v>
          </cell>
          <cell r="M174">
            <v>0.1</v>
          </cell>
          <cell r="N174">
            <v>0.1</v>
          </cell>
          <cell r="O174">
            <v>0.3</v>
          </cell>
          <cell r="P174">
            <v>0.2</v>
          </cell>
          <cell r="Q174">
            <v>0.1</v>
          </cell>
          <cell r="R174">
            <v>0.7</v>
          </cell>
          <cell r="S174">
            <v>22.4</v>
          </cell>
          <cell r="T174">
            <v>0</v>
          </cell>
          <cell r="U174">
            <v>5.6</v>
          </cell>
          <cell r="V174">
            <v>0.7</v>
          </cell>
          <cell r="W174">
            <v>1</v>
          </cell>
          <cell r="X174">
            <v>0</v>
          </cell>
          <cell r="Y174">
            <v>0</v>
          </cell>
          <cell r="Z174">
            <v>0</v>
          </cell>
        </row>
        <row r="175">
          <cell r="A175">
            <v>43174</v>
          </cell>
          <cell r="B175">
            <v>174</v>
          </cell>
          <cell r="C175">
            <v>22.4</v>
          </cell>
          <cell r="D175">
            <v>62.2</v>
          </cell>
          <cell r="E175">
            <v>2.78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2.6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2.6</v>
          </cell>
          <cell r="W175">
            <v>10</v>
          </cell>
          <cell r="X175">
            <v>0</v>
          </cell>
          <cell r="Y175">
            <v>0</v>
          </cell>
          <cell r="Z175">
            <v>0</v>
          </cell>
        </row>
        <row r="176">
          <cell r="A176">
            <v>43175</v>
          </cell>
          <cell r="B176">
            <v>175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</row>
        <row r="177">
          <cell r="A177">
            <v>43176</v>
          </cell>
          <cell r="B177">
            <v>176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1</v>
          </cell>
          <cell r="X177">
            <v>0</v>
          </cell>
          <cell r="Y177">
            <v>0</v>
          </cell>
          <cell r="Z177">
            <v>0</v>
          </cell>
        </row>
        <row r="178">
          <cell r="A178">
            <v>43177</v>
          </cell>
          <cell r="B178">
            <v>177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</row>
        <row r="179">
          <cell r="A179">
            <v>43178</v>
          </cell>
          <cell r="B179">
            <v>178</v>
          </cell>
          <cell r="C179">
            <v>4.8</v>
          </cell>
          <cell r="D179">
            <v>12.8</v>
          </cell>
          <cell r="E179">
            <v>2.69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2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1.4</v>
          </cell>
          <cell r="V179">
            <v>0.6</v>
          </cell>
          <cell r="W179">
            <v>1</v>
          </cell>
          <cell r="X179">
            <v>0</v>
          </cell>
          <cell r="Y179">
            <v>0</v>
          </cell>
          <cell r="Z179">
            <v>0</v>
          </cell>
        </row>
        <row r="180">
          <cell r="A180">
            <v>43179</v>
          </cell>
          <cell r="B180">
            <v>179</v>
          </cell>
          <cell r="C180">
            <v>29.5</v>
          </cell>
          <cell r="D180">
            <v>35.4</v>
          </cell>
          <cell r="E180">
            <v>1.2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6.2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2.8</v>
          </cell>
          <cell r="V180">
            <v>3.4</v>
          </cell>
          <cell r="W180">
            <v>30</v>
          </cell>
          <cell r="X180">
            <v>113</v>
          </cell>
          <cell r="Y180">
            <v>0</v>
          </cell>
          <cell r="Z180">
            <v>0</v>
          </cell>
        </row>
        <row r="181">
          <cell r="A181">
            <v>43180</v>
          </cell>
          <cell r="B181">
            <v>180</v>
          </cell>
          <cell r="C181">
            <v>496.5</v>
          </cell>
          <cell r="D181">
            <v>1155.2</v>
          </cell>
          <cell r="E181">
            <v>2.33</v>
          </cell>
          <cell r="F181">
            <v>1515.9</v>
          </cell>
          <cell r="G181">
            <v>168</v>
          </cell>
          <cell r="H181">
            <v>61.3</v>
          </cell>
          <cell r="I181">
            <v>1286.7</v>
          </cell>
          <cell r="J181">
            <v>1794.5</v>
          </cell>
          <cell r="K181">
            <v>84.4</v>
          </cell>
          <cell r="L181">
            <v>83.6</v>
          </cell>
          <cell r="M181">
            <v>5.4</v>
          </cell>
          <cell r="N181">
            <v>55.9</v>
          </cell>
          <cell r="O181">
            <v>125.6</v>
          </cell>
          <cell r="P181">
            <v>828.3</v>
          </cell>
          <cell r="Q181">
            <v>83.9</v>
          </cell>
          <cell r="R181">
            <v>248.9</v>
          </cell>
          <cell r="S181">
            <v>0</v>
          </cell>
          <cell r="T181">
            <v>0</v>
          </cell>
          <cell r="U181">
            <v>220.9</v>
          </cell>
          <cell r="V181">
            <v>57.7</v>
          </cell>
          <cell r="W181">
            <v>67</v>
          </cell>
          <cell r="X181">
            <v>0</v>
          </cell>
          <cell r="Y181">
            <v>0</v>
          </cell>
          <cell r="Z181">
            <v>0</v>
          </cell>
        </row>
        <row r="182">
          <cell r="A182">
            <v>43181</v>
          </cell>
          <cell r="B182">
            <v>181</v>
          </cell>
          <cell r="C182">
            <v>13.7</v>
          </cell>
          <cell r="D182">
            <v>27.3</v>
          </cell>
          <cell r="E182">
            <v>2</v>
          </cell>
          <cell r="F182">
            <v>1.1000000000000001</v>
          </cell>
          <cell r="G182">
            <v>0</v>
          </cell>
          <cell r="H182">
            <v>1.1000000000000001</v>
          </cell>
          <cell r="I182">
            <v>0</v>
          </cell>
          <cell r="J182">
            <v>5.4</v>
          </cell>
          <cell r="K182">
            <v>0</v>
          </cell>
          <cell r="L182">
            <v>0</v>
          </cell>
          <cell r="M182">
            <v>1.1000000000000001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2.8</v>
          </cell>
          <cell r="V182">
            <v>1.6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</row>
        <row r="183">
          <cell r="A183">
            <v>43182</v>
          </cell>
          <cell r="B183">
            <v>182</v>
          </cell>
          <cell r="C183">
            <v>18.3</v>
          </cell>
          <cell r="D183">
            <v>49.3</v>
          </cell>
          <cell r="E183">
            <v>2.69</v>
          </cell>
          <cell r="F183">
            <v>3.1</v>
          </cell>
          <cell r="G183">
            <v>0.7</v>
          </cell>
          <cell r="H183">
            <v>0.2</v>
          </cell>
          <cell r="I183">
            <v>2.2000000000000002</v>
          </cell>
          <cell r="J183">
            <v>13.6</v>
          </cell>
          <cell r="K183">
            <v>0.3</v>
          </cell>
          <cell r="L183">
            <v>0.4</v>
          </cell>
          <cell r="M183">
            <v>0.1</v>
          </cell>
          <cell r="N183">
            <v>0.1</v>
          </cell>
          <cell r="O183">
            <v>0.6</v>
          </cell>
          <cell r="P183">
            <v>0.3</v>
          </cell>
          <cell r="Q183">
            <v>0.2</v>
          </cell>
          <cell r="R183">
            <v>1.2</v>
          </cell>
          <cell r="S183">
            <v>0</v>
          </cell>
          <cell r="T183">
            <v>0</v>
          </cell>
          <cell r="U183">
            <v>8.4</v>
          </cell>
          <cell r="V183">
            <v>2.1</v>
          </cell>
          <cell r="W183">
            <v>100</v>
          </cell>
          <cell r="X183">
            <v>0</v>
          </cell>
          <cell r="Y183">
            <v>0</v>
          </cell>
          <cell r="Z183">
            <v>303</v>
          </cell>
        </row>
        <row r="184">
          <cell r="A184">
            <v>43183</v>
          </cell>
          <cell r="B184">
            <v>183</v>
          </cell>
          <cell r="C184">
            <v>0</v>
          </cell>
          <cell r="D184">
            <v>0</v>
          </cell>
          <cell r="E184">
            <v>0</v>
          </cell>
          <cell r="F184">
            <v>363.1</v>
          </cell>
          <cell r="G184">
            <v>94.3</v>
          </cell>
          <cell r="H184">
            <v>22</v>
          </cell>
          <cell r="I184">
            <v>246.8</v>
          </cell>
          <cell r="J184">
            <v>416.3</v>
          </cell>
          <cell r="K184">
            <v>38.299999999999997</v>
          </cell>
          <cell r="L184">
            <v>56</v>
          </cell>
          <cell r="M184">
            <v>9.6999999999999993</v>
          </cell>
          <cell r="N184">
            <v>12.4</v>
          </cell>
          <cell r="O184">
            <v>61.3</v>
          </cell>
          <cell r="P184">
            <v>32.5</v>
          </cell>
          <cell r="Q184">
            <v>19.8</v>
          </cell>
          <cell r="R184">
            <v>133.1</v>
          </cell>
          <cell r="S184">
            <v>44.8</v>
          </cell>
          <cell r="T184">
            <v>0</v>
          </cell>
          <cell r="U184">
            <v>8.4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60</v>
          </cell>
        </row>
        <row r="185">
          <cell r="A185">
            <v>43184</v>
          </cell>
          <cell r="B185">
            <v>184</v>
          </cell>
          <cell r="C185">
            <v>418.5</v>
          </cell>
          <cell r="D185">
            <v>1204.3</v>
          </cell>
          <cell r="E185">
            <v>2.88</v>
          </cell>
          <cell r="F185">
            <v>280.89999999999998</v>
          </cell>
          <cell r="G185">
            <v>66.3</v>
          </cell>
          <cell r="H185">
            <v>14.3</v>
          </cell>
          <cell r="I185">
            <v>200.4</v>
          </cell>
          <cell r="J185">
            <v>477.7</v>
          </cell>
          <cell r="K185">
            <v>42.6</v>
          </cell>
          <cell r="L185">
            <v>23.6</v>
          </cell>
          <cell r="M185">
            <v>7.2</v>
          </cell>
          <cell r="N185">
            <v>7.1</v>
          </cell>
          <cell r="O185">
            <v>37.299999999999997</v>
          </cell>
          <cell r="P185">
            <v>57.9</v>
          </cell>
          <cell r="Q185">
            <v>21.2</v>
          </cell>
          <cell r="R185">
            <v>83.9</v>
          </cell>
          <cell r="S185">
            <v>0</v>
          </cell>
          <cell r="T185">
            <v>0</v>
          </cell>
          <cell r="U185">
            <v>148.19999999999999</v>
          </cell>
          <cell r="V185">
            <v>48.6</v>
          </cell>
          <cell r="W185">
            <v>69</v>
          </cell>
          <cell r="X185">
            <v>0</v>
          </cell>
          <cell r="Y185">
            <v>0</v>
          </cell>
          <cell r="Z185">
            <v>0</v>
          </cell>
        </row>
        <row r="186">
          <cell r="A186">
            <v>43185</v>
          </cell>
          <cell r="B186">
            <v>185</v>
          </cell>
          <cell r="C186">
            <v>115.9</v>
          </cell>
          <cell r="D186">
            <v>255.2</v>
          </cell>
          <cell r="E186">
            <v>2.2000000000000002</v>
          </cell>
          <cell r="F186">
            <v>22.2</v>
          </cell>
          <cell r="G186">
            <v>0.9</v>
          </cell>
          <cell r="H186">
            <v>5</v>
          </cell>
          <cell r="I186">
            <v>16.3</v>
          </cell>
          <cell r="J186">
            <v>91.7</v>
          </cell>
          <cell r="K186">
            <v>0.4</v>
          </cell>
          <cell r="L186">
            <v>0.5</v>
          </cell>
          <cell r="M186">
            <v>0.1</v>
          </cell>
          <cell r="N186">
            <v>4.9000000000000004</v>
          </cell>
          <cell r="O186">
            <v>14.1</v>
          </cell>
          <cell r="P186">
            <v>0.4</v>
          </cell>
          <cell r="Q186">
            <v>0.2</v>
          </cell>
          <cell r="R186">
            <v>1.6</v>
          </cell>
          <cell r="S186">
            <v>44.8</v>
          </cell>
          <cell r="T186">
            <v>0</v>
          </cell>
          <cell r="U186">
            <v>11.2</v>
          </cell>
          <cell r="V186">
            <v>13.5</v>
          </cell>
          <cell r="W186">
            <v>16</v>
          </cell>
          <cell r="X186">
            <v>0</v>
          </cell>
          <cell r="Y186">
            <v>0</v>
          </cell>
          <cell r="Z186">
            <v>0</v>
          </cell>
        </row>
        <row r="187">
          <cell r="A187">
            <v>43186</v>
          </cell>
          <cell r="B187">
            <v>186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</row>
        <row r="188">
          <cell r="A188">
            <v>43187</v>
          </cell>
          <cell r="B188">
            <v>187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</row>
        <row r="189">
          <cell r="A189">
            <v>43188</v>
          </cell>
          <cell r="B189">
            <v>188</v>
          </cell>
          <cell r="C189">
            <v>7.2</v>
          </cell>
          <cell r="D189">
            <v>14.4</v>
          </cell>
          <cell r="E189">
            <v>2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2.2000000000000002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1.4</v>
          </cell>
          <cell r="V189">
            <v>0.8</v>
          </cell>
          <cell r="W189">
            <v>2</v>
          </cell>
          <cell r="X189">
            <v>0</v>
          </cell>
          <cell r="Y189">
            <v>0</v>
          </cell>
          <cell r="Z189">
            <v>0</v>
          </cell>
        </row>
        <row r="190">
          <cell r="A190">
            <v>43189</v>
          </cell>
          <cell r="B190">
            <v>189</v>
          </cell>
          <cell r="C190">
            <v>12.6</v>
          </cell>
          <cell r="D190">
            <v>31</v>
          </cell>
          <cell r="E190">
            <v>2.46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4.3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2.8</v>
          </cell>
          <cell r="V190">
            <v>1.5</v>
          </cell>
          <cell r="W190">
            <v>3</v>
          </cell>
          <cell r="X190">
            <v>0</v>
          </cell>
          <cell r="Y190">
            <v>0</v>
          </cell>
          <cell r="Z190">
            <v>0</v>
          </cell>
        </row>
        <row r="191">
          <cell r="A191">
            <v>43190</v>
          </cell>
          <cell r="B191">
            <v>190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1</v>
          </cell>
          <cell r="X191">
            <v>0</v>
          </cell>
          <cell r="Y191">
            <v>0</v>
          </cell>
          <cell r="Z191">
            <v>0</v>
          </cell>
        </row>
        <row r="192">
          <cell r="A192">
            <v>43191</v>
          </cell>
          <cell r="B192">
            <v>191</v>
          </cell>
          <cell r="C192">
            <v>20.2</v>
          </cell>
          <cell r="D192">
            <v>62.2</v>
          </cell>
          <cell r="E192">
            <v>3.08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6.5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4.2</v>
          </cell>
          <cell r="V192">
            <v>2.2999999999999998</v>
          </cell>
          <cell r="W192">
            <v>7</v>
          </cell>
          <cell r="X192">
            <v>0</v>
          </cell>
          <cell r="Y192">
            <v>0</v>
          </cell>
          <cell r="Z192">
            <v>0</v>
          </cell>
        </row>
        <row r="193">
          <cell r="A193">
            <v>43192</v>
          </cell>
          <cell r="B193">
            <v>192</v>
          </cell>
          <cell r="C193">
            <v>46.5</v>
          </cell>
          <cell r="D193">
            <v>154.4</v>
          </cell>
          <cell r="E193">
            <v>3.32</v>
          </cell>
          <cell r="F193">
            <v>7.8</v>
          </cell>
          <cell r="G193">
            <v>1.9</v>
          </cell>
          <cell r="H193">
            <v>0.3</v>
          </cell>
          <cell r="I193">
            <v>5.6</v>
          </cell>
          <cell r="J193">
            <v>62.2</v>
          </cell>
          <cell r="K193">
            <v>1.3</v>
          </cell>
          <cell r="L193">
            <v>0.6</v>
          </cell>
          <cell r="M193">
            <v>0.1</v>
          </cell>
          <cell r="N193">
            <v>0.2</v>
          </cell>
          <cell r="O193">
            <v>3</v>
          </cell>
          <cell r="P193">
            <v>0.5</v>
          </cell>
          <cell r="Q193">
            <v>0.3</v>
          </cell>
          <cell r="R193">
            <v>1.9</v>
          </cell>
          <cell r="S193">
            <v>44.8</v>
          </cell>
          <cell r="T193">
            <v>0</v>
          </cell>
          <cell r="U193">
            <v>4.2</v>
          </cell>
          <cell r="V193">
            <v>5.4</v>
          </cell>
          <cell r="W193">
            <v>6</v>
          </cell>
          <cell r="X193">
            <v>0</v>
          </cell>
          <cell r="Y193">
            <v>0</v>
          </cell>
          <cell r="Z193">
            <v>0</v>
          </cell>
        </row>
        <row r="194">
          <cell r="A194">
            <v>43193</v>
          </cell>
          <cell r="B194">
            <v>193</v>
          </cell>
          <cell r="C194">
            <v>89.6</v>
          </cell>
          <cell r="D194">
            <v>171.5</v>
          </cell>
          <cell r="E194">
            <v>1.91</v>
          </cell>
          <cell r="F194">
            <v>65.3</v>
          </cell>
          <cell r="G194">
            <v>0.6</v>
          </cell>
          <cell r="H194">
            <v>59.1</v>
          </cell>
          <cell r="I194">
            <v>5.6</v>
          </cell>
          <cell r="J194">
            <v>124.7</v>
          </cell>
          <cell r="K194">
            <v>0.3</v>
          </cell>
          <cell r="L194">
            <v>0.4</v>
          </cell>
          <cell r="M194">
            <v>59</v>
          </cell>
          <cell r="N194">
            <v>0.1</v>
          </cell>
          <cell r="O194">
            <v>4.0999999999999996</v>
          </cell>
          <cell r="P194">
            <v>0.3</v>
          </cell>
          <cell r="Q194">
            <v>0.2</v>
          </cell>
          <cell r="R194">
            <v>1.1000000000000001</v>
          </cell>
          <cell r="S194">
            <v>44.8</v>
          </cell>
          <cell r="T194">
            <v>0</v>
          </cell>
          <cell r="U194">
            <v>4.2</v>
          </cell>
          <cell r="V194">
            <v>10.4</v>
          </cell>
          <cell r="W194">
            <v>19</v>
          </cell>
          <cell r="X194">
            <v>0</v>
          </cell>
          <cell r="Y194">
            <v>0</v>
          </cell>
          <cell r="Z194">
            <v>0</v>
          </cell>
        </row>
        <row r="195">
          <cell r="A195">
            <v>43194</v>
          </cell>
          <cell r="B195">
            <v>194</v>
          </cell>
          <cell r="C195">
            <v>8.1</v>
          </cell>
          <cell r="D195">
            <v>20.5</v>
          </cell>
          <cell r="E195">
            <v>2.54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2.2999999999999998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1.4</v>
          </cell>
          <cell r="V195">
            <v>0.9</v>
          </cell>
          <cell r="W195">
            <v>1</v>
          </cell>
          <cell r="X195">
            <v>0</v>
          </cell>
          <cell r="Y195">
            <v>0</v>
          </cell>
          <cell r="Z195">
            <v>0</v>
          </cell>
        </row>
        <row r="196">
          <cell r="A196">
            <v>43195</v>
          </cell>
          <cell r="B196">
            <v>195</v>
          </cell>
          <cell r="C196">
            <v>1.9</v>
          </cell>
          <cell r="D196">
            <v>3.2</v>
          </cell>
          <cell r="E196">
            <v>1.66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0.2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0.2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</row>
        <row r="197">
          <cell r="A197">
            <v>43196</v>
          </cell>
          <cell r="B197">
            <v>196</v>
          </cell>
          <cell r="C197">
            <v>13.2</v>
          </cell>
          <cell r="D197">
            <v>28.1</v>
          </cell>
          <cell r="E197">
            <v>2.13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2.9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1.4</v>
          </cell>
          <cell r="V197">
            <v>1.5</v>
          </cell>
          <cell r="W197">
            <v>5</v>
          </cell>
          <cell r="X197">
            <v>0</v>
          </cell>
          <cell r="Y197">
            <v>0</v>
          </cell>
          <cell r="Z197">
            <v>0</v>
          </cell>
        </row>
        <row r="198">
          <cell r="A198">
            <v>43197</v>
          </cell>
          <cell r="B198">
            <v>197</v>
          </cell>
          <cell r="C198">
            <v>40.799999999999997</v>
          </cell>
          <cell r="D198">
            <v>113.1</v>
          </cell>
          <cell r="E198">
            <v>2.77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10.3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5.6</v>
          </cell>
          <cell r="V198">
            <v>4.7</v>
          </cell>
          <cell r="W198">
            <v>7</v>
          </cell>
          <cell r="X198">
            <v>0</v>
          </cell>
          <cell r="Y198">
            <v>0</v>
          </cell>
          <cell r="Z198">
            <v>0</v>
          </cell>
        </row>
        <row r="199">
          <cell r="A199">
            <v>43198</v>
          </cell>
          <cell r="B199">
            <v>198</v>
          </cell>
          <cell r="C199">
            <v>86.5</v>
          </cell>
          <cell r="D199">
            <v>212.2</v>
          </cell>
          <cell r="E199">
            <v>2.4500000000000002</v>
          </cell>
          <cell r="F199">
            <v>55.3</v>
          </cell>
          <cell r="G199">
            <v>0.4</v>
          </cell>
          <cell r="H199">
            <v>0.1</v>
          </cell>
          <cell r="I199">
            <v>54.8</v>
          </cell>
          <cell r="J199">
            <v>119.9</v>
          </cell>
          <cell r="K199">
            <v>0.2</v>
          </cell>
          <cell r="L199">
            <v>0.2</v>
          </cell>
          <cell r="M199">
            <v>0</v>
          </cell>
          <cell r="N199">
            <v>0.1</v>
          </cell>
          <cell r="O199">
            <v>53.9</v>
          </cell>
          <cell r="P199">
            <v>0.2</v>
          </cell>
          <cell r="Q199">
            <v>0.1</v>
          </cell>
          <cell r="R199">
            <v>0.7</v>
          </cell>
          <cell r="S199">
            <v>44.8</v>
          </cell>
          <cell r="T199">
            <v>0</v>
          </cell>
          <cell r="U199">
            <v>9.8000000000000007</v>
          </cell>
          <cell r="V199">
            <v>10</v>
          </cell>
          <cell r="W199">
            <v>9</v>
          </cell>
          <cell r="X199">
            <v>0</v>
          </cell>
          <cell r="Y199">
            <v>0</v>
          </cell>
          <cell r="Z199">
            <v>0</v>
          </cell>
        </row>
        <row r="200">
          <cell r="A200">
            <v>43199</v>
          </cell>
          <cell r="B200">
            <v>199</v>
          </cell>
          <cell r="C200">
            <v>20.2</v>
          </cell>
          <cell r="D200">
            <v>33.5</v>
          </cell>
          <cell r="E200">
            <v>1.66</v>
          </cell>
          <cell r="F200">
            <v>6.2</v>
          </cell>
          <cell r="G200">
            <v>0.9</v>
          </cell>
          <cell r="H200">
            <v>0.3</v>
          </cell>
          <cell r="I200">
            <v>5</v>
          </cell>
          <cell r="J200">
            <v>11.3</v>
          </cell>
          <cell r="K200">
            <v>0.4</v>
          </cell>
          <cell r="L200">
            <v>0.5</v>
          </cell>
          <cell r="M200">
            <v>0.1</v>
          </cell>
          <cell r="N200">
            <v>0.2</v>
          </cell>
          <cell r="O200">
            <v>2.7</v>
          </cell>
          <cell r="P200">
            <v>0.4</v>
          </cell>
          <cell r="Q200">
            <v>0.2</v>
          </cell>
          <cell r="R200">
            <v>1.6</v>
          </cell>
          <cell r="S200">
            <v>0</v>
          </cell>
          <cell r="T200">
            <v>0</v>
          </cell>
          <cell r="U200">
            <v>2.8</v>
          </cell>
          <cell r="V200">
            <v>2.2999999999999998</v>
          </cell>
          <cell r="W200">
            <v>1</v>
          </cell>
          <cell r="X200">
            <v>0</v>
          </cell>
          <cell r="Y200">
            <v>0</v>
          </cell>
          <cell r="Z200">
            <v>0</v>
          </cell>
        </row>
        <row r="201">
          <cell r="A201">
            <v>43200</v>
          </cell>
          <cell r="B201">
            <v>200</v>
          </cell>
          <cell r="C201">
            <v>16.3</v>
          </cell>
          <cell r="D201">
            <v>36</v>
          </cell>
          <cell r="E201">
            <v>2.21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30.3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24.2</v>
          </cell>
          <cell r="U201">
            <v>4.2</v>
          </cell>
          <cell r="V201">
            <v>1.9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</row>
        <row r="202">
          <cell r="A202">
            <v>43201</v>
          </cell>
          <cell r="B202">
            <v>201</v>
          </cell>
          <cell r="C202">
            <v>2.9</v>
          </cell>
          <cell r="D202">
            <v>4.8</v>
          </cell>
          <cell r="E202">
            <v>1.66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0.3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0.3</v>
          </cell>
          <cell r="W202">
            <v>11</v>
          </cell>
          <cell r="X202">
            <v>0</v>
          </cell>
          <cell r="Y202">
            <v>0</v>
          </cell>
          <cell r="Z202">
            <v>0</v>
          </cell>
        </row>
        <row r="203">
          <cell r="A203">
            <v>43202</v>
          </cell>
          <cell r="B203">
            <v>202</v>
          </cell>
          <cell r="C203">
            <v>28</v>
          </cell>
          <cell r="D203">
            <v>63.4</v>
          </cell>
          <cell r="E203">
            <v>2.27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8.9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5.6</v>
          </cell>
          <cell r="V203">
            <v>3.3</v>
          </cell>
          <cell r="W203">
            <v>7</v>
          </cell>
          <cell r="X203">
            <v>0</v>
          </cell>
          <cell r="Y203">
            <v>0</v>
          </cell>
          <cell r="Z203">
            <v>0</v>
          </cell>
        </row>
        <row r="204">
          <cell r="A204">
            <v>43203</v>
          </cell>
          <cell r="B204">
            <v>203</v>
          </cell>
          <cell r="C204">
            <v>50</v>
          </cell>
          <cell r="D204">
            <v>157.6</v>
          </cell>
          <cell r="E204">
            <v>3.15</v>
          </cell>
          <cell r="F204">
            <v>65.900000000000006</v>
          </cell>
          <cell r="G204">
            <v>0.5</v>
          </cell>
          <cell r="H204">
            <v>0.1</v>
          </cell>
          <cell r="I204">
            <v>65.2</v>
          </cell>
          <cell r="J204">
            <v>96.9</v>
          </cell>
          <cell r="K204">
            <v>0.2</v>
          </cell>
          <cell r="L204">
            <v>0.3</v>
          </cell>
          <cell r="M204">
            <v>0.1</v>
          </cell>
          <cell r="N204">
            <v>0.1</v>
          </cell>
          <cell r="O204">
            <v>64.099999999999994</v>
          </cell>
          <cell r="P204">
            <v>0.2</v>
          </cell>
          <cell r="Q204">
            <v>0.1</v>
          </cell>
          <cell r="R204">
            <v>0.8</v>
          </cell>
          <cell r="S204">
            <v>22.4</v>
          </cell>
          <cell r="T204">
            <v>0</v>
          </cell>
          <cell r="U204">
            <v>2.8</v>
          </cell>
          <cell r="V204">
            <v>5.8</v>
          </cell>
          <cell r="W204">
            <v>8</v>
          </cell>
          <cell r="X204">
            <v>0</v>
          </cell>
          <cell r="Y204">
            <v>0</v>
          </cell>
          <cell r="Z204">
            <v>0</v>
          </cell>
        </row>
        <row r="205">
          <cell r="A205">
            <v>43204</v>
          </cell>
          <cell r="B205">
            <v>204</v>
          </cell>
          <cell r="C205">
            <v>47.8</v>
          </cell>
          <cell r="D205">
            <v>107.9</v>
          </cell>
          <cell r="E205">
            <v>2.2599999999999998</v>
          </cell>
          <cell r="F205">
            <v>88.3</v>
          </cell>
          <cell r="G205">
            <v>0.8</v>
          </cell>
          <cell r="H205">
            <v>0.2</v>
          </cell>
          <cell r="I205">
            <v>87.3</v>
          </cell>
          <cell r="J205">
            <v>120.5</v>
          </cell>
          <cell r="K205">
            <v>0.3</v>
          </cell>
          <cell r="L205">
            <v>0.4</v>
          </cell>
          <cell r="M205">
            <v>0.1</v>
          </cell>
          <cell r="N205">
            <v>0.1</v>
          </cell>
          <cell r="O205">
            <v>18.3</v>
          </cell>
          <cell r="P205">
            <v>0.3</v>
          </cell>
          <cell r="Q205">
            <v>0.2</v>
          </cell>
          <cell r="R205">
            <v>68.5</v>
          </cell>
          <cell r="S205">
            <v>22.4</v>
          </cell>
          <cell r="T205">
            <v>0</v>
          </cell>
          <cell r="U205">
            <v>4.2</v>
          </cell>
          <cell r="V205">
            <v>5.6</v>
          </cell>
          <cell r="W205">
            <v>6</v>
          </cell>
          <cell r="X205">
            <v>0</v>
          </cell>
          <cell r="Y205">
            <v>0</v>
          </cell>
          <cell r="Z205">
            <v>0</v>
          </cell>
        </row>
        <row r="206">
          <cell r="A206">
            <v>43205</v>
          </cell>
          <cell r="B206">
            <v>205</v>
          </cell>
          <cell r="C206">
            <v>11.2</v>
          </cell>
          <cell r="D206">
            <v>26.2</v>
          </cell>
          <cell r="E206">
            <v>2.34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2.7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1.4</v>
          </cell>
          <cell r="V206">
            <v>1.3</v>
          </cell>
          <cell r="W206">
            <v>2</v>
          </cell>
          <cell r="X206">
            <v>0</v>
          </cell>
          <cell r="Y206">
            <v>0</v>
          </cell>
          <cell r="Z206">
            <v>0</v>
          </cell>
        </row>
        <row r="207">
          <cell r="A207">
            <v>43206</v>
          </cell>
          <cell r="B207">
            <v>206</v>
          </cell>
          <cell r="C207">
            <v>18.899999999999999</v>
          </cell>
          <cell r="D207">
            <v>45.4</v>
          </cell>
          <cell r="E207">
            <v>2.4</v>
          </cell>
          <cell r="F207">
            <v>13.2</v>
          </cell>
          <cell r="G207">
            <v>0.1</v>
          </cell>
          <cell r="H207">
            <v>12.7</v>
          </cell>
          <cell r="I207">
            <v>0.4</v>
          </cell>
          <cell r="J207">
            <v>16.8</v>
          </cell>
          <cell r="K207">
            <v>0.1</v>
          </cell>
          <cell r="L207">
            <v>0.1</v>
          </cell>
          <cell r="M207">
            <v>12.6</v>
          </cell>
          <cell r="N207">
            <v>0</v>
          </cell>
          <cell r="O207">
            <v>0.1</v>
          </cell>
          <cell r="P207">
            <v>0.1</v>
          </cell>
          <cell r="Q207">
            <v>0</v>
          </cell>
          <cell r="R207">
            <v>0.2</v>
          </cell>
          <cell r="S207">
            <v>0</v>
          </cell>
          <cell r="T207">
            <v>0</v>
          </cell>
          <cell r="U207">
            <v>1.4</v>
          </cell>
          <cell r="V207">
            <v>2.2000000000000002</v>
          </cell>
          <cell r="W207">
            <v>3</v>
          </cell>
          <cell r="X207">
            <v>0</v>
          </cell>
          <cell r="Y207">
            <v>0</v>
          </cell>
          <cell r="Z207">
            <v>0</v>
          </cell>
        </row>
        <row r="208">
          <cell r="A208">
            <v>43207</v>
          </cell>
          <cell r="B208">
            <v>207</v>
          </cell>
          <cell r="C208">
            <v>138.69999999999999</v>
          </cell>
          <cell r="D208">
            <v>278.39999999999998</v>
          </cell>
          <cell r="E208">
            <v>2.0099999999999998</v>
          </cell>
          <cell r="F208">
            <v>68.8</v>
          </cell>
          <cell r="G208">
            <v>53.2</v>
          </cell>
          <cell r="H208">
            <v>3.4</v>
          </cell>
          <cell r="I208">
            <v>12.2</v>
          </cell>
          <cell r="J208">
            <v>112.8</v>
          </cell>
          <cell r="K208">
            <v>1.1000000000000001</v>
          </cell>
          <cell r="L208">
            <v>52.1</v>
          </cell>
          <cell r="M208">
            <v>0.3</v>
          </cell>
          <cell r="N208">
            <v>3.1</v>
          </cell>
          <cell r="O208">
            <v>5.9</v>
          </cell>
          <cell r="P208">
            <v>1.1000000000000001</v>
          </cell>
          <cell r="Q208">
            <v>0.7</v>
          </cell>
          <cell r="R208">
            <v>4.5</v>
          </cell>
          <cell r="S208">
            <v>0</v>
          </cell>
          <cell r="T208">
            <v>0</v>
          </cell>
          <cell r="U208">
            <v>28</v>
          </cell>
          <cell r="V208">
            <v>16.100000000000001</v>
          </cell>
          <cell r="W208">
            <v>0</v>
          </cell>
          <cell r="X208">
            <v>317</v>
          </cell>
          <cell r="Y208">
            <v>0</v>
          </cell>
          <cell r="Z208">
            <v>0</v>
          </cell>
        </row>
        <row r="209">
          <cell r="A209">
            <v>43208</v>
          </cell>
          <cell r="B209">
            <v>208</v>
          </cell>
          <cell r="C209">
            <v>50.6</v>
          </cell>
          <cell r="D209">
            <v>115.1</v>
          </cell>
          <cell r="E209">
            <v>2.2799999999999998</v>
          </cell>
          <cell r="F209">
            <v>60.1</v>
          </cell>
          <cell r="G209">
            <v>0.7</v>
          </cell>
          <cell r="H209">
            <v>57.4</v>
          </cell>
          <cell r="I209">
            <v>2.1</v>
          </cell>
          <cell r="J209">
            <v>69.099999999999994</v>
          </cell>
          <cell r="K209">
            <v>0.3</v>
          </cell>
          <cell r="L209">
            <v>0.4</v>
          </cell>
          <cell r="M209">
            <v>0.1</v>
          </cell>
          <cell r="N209">
            <v>57.3</v>
          </cell>
          <cell r="O209">
            <v>0.5</v>
          </cell>
          <cell r="P209">
            <v>0.3</v>
          </cell>
          <cell r="Q209">
            <v>0.2</v>
          </cell>
          <cell r="R209">
            <v>1.1000000000000001</v>
          </cell>
          <cell r="S209">
            <v>0.2</v>
          </cell>
          <cell r="T209">
            <v>0.1</v>
          </cell>
          <cell r="U209">
            <v>2.8</v>
          </cell>
          <cell r="V209">
            <v>5.9</v>
          </cell>
          <cell r="W209">
            <v>14</v>
          </cell>
          <cell r="X209">
            <v>0</v>
          </cell>
          <cell r="Y209">
            <v>0</v>
          </cell>
          <cell r="Z209">
            <v>0</v>
          </cell>
        </row>
        <row r="210">
          <cell r="A210">
            <v>43209</v>
          </cell>
          <cell r="B210">
            <v>209</v>
          </cell>
          <cell r="C210">
            <v>15.6</v>
          </cell>
          <cell r="D210">
            <v>40.799999999999997</v>
          </cell>
          <cell r="E210">
            <v>2.62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1.8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1.8</v>
          </cell>
          <cell r="W210">
            <v>4</v>
          </cell>
          <cell r="X210">
            <v>0</v>
          </cell>
          <cell r="Y210">
            <v>0</v>
          </cell>
          <cell r="Z210">
            <v>0</v>
          </cell>
        </row>
        <row r="211">
          <cell r="A211">
            <v>43210</v>
          </cell>
          <cell r="B211">
            <v>210</v>
          </cell>
          <cell r="C211">
            <v>8.4</v>
          </cell>
          <cell r="D211">
            <v>22.5</v>
          </cell>
          <cell r="E211">
            <v>2.69</v>
          </cell>
          <cell r="F211">
            <v>10.6</v>
          </cell>
          <cell r="G211">
            <v>0.6</v>
          </cell>
          <cell r="H211">
            <v>0.2</v>
          </cell>
          <cell r="I211">
            <v>9.8000000000000007</v>
          </cell>
          <cell r="J211">
            <v>11.6</v>
          </cell>
          <cell r="K211">
            <v>0.3</v>
          </cell>
          <cell r="L211">
            <v>0.4</v>
          </cell>
          <cell r="M211">
            <v>0.1</v>
          </cell>
          <cell r="N211">
            <v>0.1</v>
          </cell>
          <cell r="O211">
            <v>0.5</v>
          </cell>
          <cell r="P211">
            <v>8</v>
          </cell>
          <cell r="Q211">
            <v>0.2</v>
          </cell>
          <cell r="R211">
            <v>1.1000000000000001</v>
          </cell>
          <cell r="S211">
            <v>0</v>
          </cell>
          <cell r="T211">
            <v>0</v>
          </cell>
          <cell r="U211">
            <v>0</v>
          </cell>
          <cell r="V211">
            <v>1</v>
          </cell>
          <cell r="W211">
            <v>1</v>
          </cell>
          <cell r="X211">
            <v>0</v>
          </cell>
          <cell r="Y211">
            <v>0</v>
          </cell>
          <cell r="Z211">
            <v>0</v>
          </cell>
        </row>
        <row r="212">
          <cell r="A212">
            <v>43211</v>
          </cell>
          <cell r="B212">
            <v>211</v>
          </cell>
          <cell r="C212">
            <v>49.5</v>
          </cell>
          <cell r="D212">
            <v>80.900000000000006</v>
          </cell>
          <cell r="E212">
            <v>1.63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29.5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22.4</v>
          </cell>
          <cell r="T212">
            <v>0</v>
          </cell>
          <cell r="U212">
            <v>1.4</v>
          </cell>
          <cell r="V212">
            <v>5.7</v>
          </cell>
          <cell r="W212">
            <v>19</v>
          </cell>
          <cell r="X212">
            <v>0</v>
          </cell>
          <cell r="Y212">
            <v>0</v>
          </cell>
          <cell r="Z212">
            <v>0</v>
          </cell>
        </row>
        <row r="213">
          <cell r="A213">
            <v>43212</v>
          </cell>
          <cell r="B213">
            <v>212</v>
          </cell>
          <cell r="C213">
            <v>8.9</v>
          </cell>
          <cell r="D213">
            <v>22.8</v>
          </cell>
          <cell r="E213">
            <v>2.57</v>
          </cell>
          <cell r="F213">
            <v>6.3</v>
          </cell>
          <cell r="G213">
            <v>0.2</v>
          </cell>
          <cell r="H213">
            <v>0.1</v>
          </cell>
          <cell r="I213">
            <v>6</v>
          </cell>
          <cell r="J213">
            <v>7.3</v>
          </cell>
          <cell r="K213">
            <v>0.1</v>
          </cell>
          <cell r="L213">
            <v>0.1</v>
          </cell>
          <cell r="M213">
            <v>0</v>
          </cell>
          <cell r="N213">
            <v>0</v>
          </cell>
          <cell r="O213">
            <v>0.2</v>
          </cell>
          <cell r="P213">
            <v>5.3</v>
          </cell>
          <cell r="Q213">
            <v>0.1</v>
          </cell>
          <cell r="R213">
            <v>0.4</v>
          </cell>
          <cell r="S213">
            <v>0</v>
          </cell>
          <cell r="T213">
            <v>0</v>
          </cell>
          <cell r="U213">
            <v>0</v>
          </cell>
          <cell r="V213">
            <v>1</v>
          </cell>
          <cell r="W213">
            <v>1</v>
          </cell>
          <cell r="X213">
            <v>0</v>
          </cell>
          <cell r="Y213">
            <v>0</v>
          </cell>
          <cell r="Z213">
            <v>0</v>
          </cell>
        </row>
        <row r="214">
          <cell r="A214">
            <v>43213</v>
          </cell>
          <cell r="B214">
            <v>213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2</v>
          </cell>
          <cell r="X214">
            <v>0</v>
          </cell>
          <cell r="Y214">
            <v>0</v>
          </cell>
          <cell r="Z214">
            <v>0</v>
          </cell>
        </row>
        <row r="215">
          <cell r="A215">
            <v>43214</v>
          </cell>
          <cell r="B215">
            <v>214</v>
          </cell>
          <cell r="C215">
            <v>15.3</v>
          </cell>
          <cell r="D215">
            <v>18.3</v>
          </cell>
          <cell r="E215">
            <v>1.2</v>
          </cell>
          <cell r="F215">
            <v>1.7</v>
          </cell>
          <cell r="G215">
            <v>0</v>
          </cell>
          <cell r="H215">
            <v>0</v>
          </cell>
          <cell r="I215">
            <v>1.7</v>
          </cell>
          <cell r="J215">
            <v>4.9000000000000004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1.7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1.4</v>
          </cell>
          <cell r="V215">
            <v>1.8</v>
          </cell>
          <cell r="W215">
            <v>7</v>
          </cell>
          <cell r="X215">
            <v>0</v>
          </cell>
          <cell r="Y215">
            <v>0</v>
          </cell>
          <cell r="Z215">
            <v>0</v>
          </cell>
        </row>
        <row r="216">
          <cell r="A216">
            <v>43215</v>
          </cell>
          <cell r="B216">
            <v>215</v>
          </cell>
          <cell r="C216">
            <v>86.7</v>
          </cell>
          <cell r="D216">
            <v>133.5</v>
          </cell>
          <cell r="E216">
            <v>1.54</v>
          </cell>
          <cell r="F216">
            <v>2.8</v>
          </cell>
          <cell r="G216">
            <v>0</v>
          </cell>
          <cell r="H216">
            <v>0.9</v>
          </cell>
          <cell r="I216">
            <v>1.9</v>
          </cell>
          <cell r="J216">
            <v>24.1</v>
          </cell>
          <cell r="K216">
            <v>0</v>
          </cell>
          <cell r="L216">
            <v>0</v>
          </cell>
          <cell r="M216">
            <v>0.9</v>
          </cell>
          <cell r="N216">
            <v>0</v>
          </cell>
          <cell r="O216">
            <v>1.8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11.2</v>
          </cell>
          <cell r="V216">
            <v>10.1</v>
          </cell>
          <cell r="W216">
            <v>0</v>
          </cell>
          <cell r="X216">
            <v>71</v>
          </cell>
          <cell r="Y216">
            <v>0</v>
          </cell>
          <cell r="Z216">
            <v>0</v>
          </cell>
        </row>
        <row r="217">
          <cell r="A217">
            <v>43216</v>
          </cell>
          <cell r="B217">
            <v>216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</row>
        <row r="218">
          <cell r="A218">
            <v>43217</v>
          </cell>
          <cell r="B218">
            <v>217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2</v>
          </cell>
          <cell r="X218">
            <v>0</v>
          </cell>
          <cell r="Y218">
            <v>0</v>
          </cell>
          <cell r="Z218">
            <v>0</v>
          </cell>
        </row>
        <row r="219">
          <cell r="A219">
            <v>43218</v>
          </cell>
          <cell r="B219">
            <v>218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1</v>
          </cell>
          <cell r="X219">
            <v>0</v>
          </cell>
          <cell r="Y219">
            <v>0</v>
          </cell>
          <cell r="Z219">
            <v>0</v>
          </cell>
        </row>
        <row r="220">
          <cell r="A220">
            <v>43219</v>
          </cell>
          <cell r="B220">
            <v>219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19.399999999999999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19.399999999999999</v>
          </cell>
          <cell r="U220">
            <v>0</v>
          </cell>
          <cell r="V220">
            <v>0</v>
          </cell>
          <cell r="W220">
            <v>8</v>
          </cell>
          <cell r="X220">
            <v>5</v>
          </cell>
          <cell r="Y220">
            <v>0</v>
          </cell>
          <cell r="Z220">
            <v>0</v>
          </cell>
        </row>
        <row r="221">
          <cell r="A221">
            <v>43220</v>
          </cell>
          <cell r="B221">
            <v>220</v>
          </cell>
          <cell r="C221">
            <v>2.7</v>
          </cell>
          <cell r="D221">
            <v>5.9</v>
          </cell>
          <cell r="E221">
            <v>2.17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1.7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1.4</v>
          </cell>
          <cell r="V221">
            <v>0.3</v>
          </cell>
          <cell r="W221">
            <v>10</v>
          </cell>
          <cell r="X221">
            <v>120</v>
          </cell>
          <cell r="Y221">
            <v>0</v>
          </cell>
          <cell r="Z221">
            <v>0</v>
          </cell>
        </row>
        <row r="222">
          <cell r="A222">
            <v>43221</v>
          </cell>
          <cell r="B222">
            <v>221</v>
          </cell>
          <cell r="C222">
            <v>28.6</v>
          </cell>
          <cell r="D222">
            <v>34.9</v>
          </cell>
          <cell r="E222">
            <v>1.22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15.9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12.6</v>
          </cell>
          <cell r="V222">
            <v>3.3</v>
          </cell>
          <cell r="W222">
            <v>80</v>
          </cell>
          <cell r="X222">
            <v>604</v>
          </cell>
          <cell r="Y222">
            <v>0</v>
          </cell>
          <cell r="Z222">
            <v>0</v>
          </cell>
        </row>
        <row r="223">
          <cell r="A223">
            <v>43222</v>
          </cell>
          <cell r="B223">
            <v>222</v>
          </cell>
          <cell r="C223">
            <v>14.5</v>
          </cell>
          <cell r="D223">
            <v>48</v>
          </cell>
          <cell r="E223">
            <v>3.31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1.7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1.7</v>
          </cell>
          <cell r="W223">
            <v>0</v>
          </cell>
          <cell r="X223">
            <v>5</v>
          </cell>
          <cell r="Y223">
            <v>0</v>
          </cell>
          <cell r="Z223">
            <v>0</v>
          </cell>
        </row>
        <row r="224">
          <cell r="A224">
            <v>43223</v>
          </cell>
          <cell r="B224">
            <v>223</v>
          </cell>
          <cell r="C224">
            <v>4</v>
          </cell>
          <cell r="D224">
            <v>10.8</v>
          </cell>
          <cell r="E224">
            <v>2.69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0.5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0.5</v>
          </cell>
          <cell r="W224">
            <v>0</v>
          </cell>
          <cell r="X224">
            <v>5</v>
          </cell>
          <cell r="Y224">
            <v>0</v>
          </cell>
          <cell r="Z224">
            <v>0</v>
          </cell>
        </row>
        <row r="225">
          <cell r="A225">
            <v>43224</v>
          </cell>
          <cell r="B225">
            <v>224</v>
          </cell>
          <cell r="C225">
            <v>26.4</v>
          </cell>
          <cell r="D225">
            <v>51.1</v>
          </cell>
          <cell r="E225">
            <v>1.94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5.9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2.8</v>
          </cell>
          <cell r="V225">
            <v>3.1</v>
          </cell>
          <cell r="W225">
            <v>0</v>
          </cell>
          <cell r="X225">
            <v>399</v>
          </cell>
          <cell r="Y225">
            <v>0</v>
          </cell>
          <cell r="Z225">
            <v>0</v>
          </cell>
        </row>
        <row r="226">
          <cell r="A226">
            <v>43225</v>
          </cell>
          <cell r="B226">
            <v>225</v>
          </cell>
          <cell r="C226">
            <v>9</v>
          </cell>
          <cell r="D226">
            <v>11.9</v>
          </cell>
          <cell r="E226">
            <v>1.33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2.4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1.4</v>
          </cell>
          <cell r="V226">
            <v>1</v>
          </cell>
          <cell r="W226">
            <v>0</v>
          </cell>
          <cell r="X226">
            <v>44</v>
          </cell>
          <cell r="Y226">
            <v>0</v>
          </cell>
          <cell r="Z226">
            <v>0</v>
          </cell>
        </row>
        <row r="227">
          <cell r="A227">
            <v>43226</v>
          </cell>
          <cell r="B227">
            <v>226</v>
          </cell>
          <cell r="C227">
            <v>35</v>
          </cell>
          <cell r="D227">
            <v>63.3</v>
          </cell>
          <cell r="E227">
            <v>1.81</v>
          </cell>
          <cell r="F227">
            <v>3.7</v>
          </cell>
          <cell r="G227">
            <v>0</v>
          </cell>
          <cell r="H227">
            <v>0</v>
          </cell>
          <cell r="I227">
            <v>3.7</v>
          </cell>
          <cell r="J227">
            <v>9.1999999999999993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3.6</v>
          </cell>
          <cell r="S227">
            <v>0</v>
          </cell>
          <cell r="T227">
            <v>0</v>
          </cell>
          <cell r="U227">
            <v>1.4</v>
          </cell>
          <cell r="V227">
            <v>4.0999999999999996</v>
          </cell>
          <cell r="W227">
            <v>0</v>
          </cell>
          <cell r="X227">
            <v>493</v>
          </cell>
          <cell r="Y227">
            <v>0</v>
          </cell>
          <cell r="Z227">
            <v>0</v>
          </cell>
        </row>
        <row r="228">
          <cell r="A228">
            <v>43227</v>
          </cell>
          <cell r="B228">
            <v>227</v>
          </cell>
          <cell r="C228">
            <v>6.8</v>
          </cell>
          <cell r="D228">
            <v>31.2</v>
          </cell>
          <cell r="E228">
            <v>4.6100000000000003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0.8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0.8</v>
          </cell>
          <cell r="W228">
            <v>0</v>
          </cell>
          <cell r="X228">
            <v>88</v>
          </cell>
          <cell r="Y228">
            <v>0</v>
          </cell>
          <cell r="Z228">
            <v>0</v>
          </cell>
        </row>
        <row r="229">
          <cell r="A229">
            <v>43228</v>
          </cell>
          <cell r="B229">
            <v>228</v>
          </cell>
          <cell r="C229">
            <v>17</v>
          </cell>
          <cell r="D229">
            <v>46</v>
          </cell>
          <cell r="E229">
            <v>2.71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28.6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26.6</v>
          </cell>
          <cell r="V229">
            <v>2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</row>
        <row r="230">
          <cell r="A230">
            <v>43229</v>
          </cell>
          <cell r="B230">
            <v>229</v>
          </cell>
          <cell r="C230">
            <v>34.700000000000003</v>
          </cell>
          <cell r="D230">
            <v>84.8</v>
          </cell>
          <cell r="E230">
            <v>2.4500000000000002</v>
          </cell>
          <cell r="F230">
            <v>3.3</v>
          </cell>
          <cell r="G230">
            <v>0</v>
          </cell>
          <cell r="H230">
            <v>3.2</v>
          </cell>
          <cell r="I230">
            <v>0.1</v>
          </cell>
          <cell r="J230">
            <v>8.6999999999999993</v>
          </cell>
          <cell r="K230">
            <v>0</v>
          </cell>
          <cell r="L230">
            <v>0</v>
          </cell>
          <cell r="M230">
            <v>3.2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0.1</v>
          </cell>
          <cell r="S230">
            <v>0</v>
          </cell>
          <cell r="T230">
            <v>0</v>
          </cell>
          <cell r="U230">
            <v>1.4</v>
          </cell>
          <cell r="V230">
            <v>4</v>
          </cell>
          <cell r="W230">
            <v>25</v>
          </cell>
          <cell r="X230">
            <v>0</v>
          </cell>
          <cell r="Y230">
            <v>0</v>
          </cell>
          <cell r="Z230">
            <v>0</v>
          </cell>
        </row>
        <row r="231">
          <cell r="A231">
            <v>43230</v>
          </cell>
          <cell r="B231">
            <v>230</v>
          </cell>
          <cell r="C231">
            <v>66.099999999999994</v>
          </cell>
          <cell r="D231">
            <v>122.7</v>
          </cell>
          <cell r="E231">
            <v>1.86</v>
          </cell>
          <cell r="F231">
            <v>14.3</v>
          </cell>
          <cell r="G231">
            <v>0.1</v>
          </cell>
          <cell r="H231">
            <v>0</v>
          </cell>
          <cell r="I231">
            <v>14.1</v>
          </cell>
          <cell r="J231">
            <v>23.3</v>
          </cell>
          <cell r="K231">
            <v>0.1</v>
          </cell>
          <cell r="L231">
            <v>0.1</v>
          </cell>
          <cell r="M231">
            <v>0</v>
          </cell>
          <cell r="N231">
            <v>0</v>
          </cell>
          <cell r="O231">
            <v>0.1</v>
          </cell>
          <cell r="P231">
            <v>6.8</v>
          </cell>
          <cell r="Q231">
            <v>0</v>
          </cell>
          <cell r="R231">
            <v>7.1</v>
          </cell>
          <cell r="S231">
            <v>0</v>
          </cell>
          <cell r="T231">
            <v>0</v>
          </cell>
          <cell r="U231">
            <v>1.4</v>
          </cell>
          <cell r="V231">
            <v>7.7</v>
          </cell>
          <cell r="W231">
            <v>99</v>
          </cell>
          <cell r="X231">
            <v>0</v>
          </cell>
          <cell r="Y231">
            <v>0</v>
          </cell>
          <cell r="Z231">
            <v>0</v>
          </cell>
        </row>
        <row r="232">
          <cell r="A232">
            <v>43231</v>
          </cell>
          <cell r="B232">
            <v>231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</row>
        <row r="233">
          <cell r="A233">
            <v>43232</v>
          </cell>
          <cell r="B233">
            <v>232</v>
          </cell>
          <cell r="C233">
            <v>29.8</v>
          </cell>
          <cell r="D233">
            <v>37.9</v>
          </cell>
          <cell r="E233">
            <v>1.27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7.7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4.2</v>
          </cell>
          <cell r="V233">
            <v>3.5</v>
          </cell>
          <cell r="W233">
            <v>0</v>
          </cell>
          <cell r="X233">
            <v>72</v>
          </cell>
          <cell r="Y233">
            <v>0</v>
          </cell>
          <cell r="Z233">
            <v>0</v>
          </cell>
        </row>
        <row r="234">
          <cell r="A234">
            <v>43233</v>
          </cell>
          <cell r="B234">
            <v>233</v>
          </cell>
          <cell r="C234">
            <v>0</v>
          </cell>
          <cell r="D234">
            <v>0</v>
          </cell>
          <cell r="E234">
            <v>0</v>
          </cell>
          <cell r="F234">
            <v>103.7</v>
          </cell>
          <cell r="G234">
            <v>19.399999999999999</v>
          </cell>
          <cell r="H234">
            <v>4.7</v>
          </cell>
          <cell r="I234">
            <v>79.599999999999994</v>
          </cell>
          <cell r="J234">
            <v>106.5</v>
          </cell>
          <cell r="K234">
            <v>10.199999999999999</v>
          </cell>
          <cell r="L234">
            <v>9.3000000000000007</v>
          </cell>
          <cell r="M234">
            <v>2.1</v>
          </cell>
          <cell r="N234">
            <v>2.6</v>
          </cell>
          <cell r="O234">
            <v>14.6</v>
          </cell>
          <cell r="P234">
            <v>6.9</v>
          </cell>
          <cell r="Q234">
            <v>4.2</v>
          </cell>
          <cell r="R234">
            <v>53.9</v>
          </cell>
          <cell r="S234">
            <v>0</v>
          </cell>
          <cell r="T234">
            <v>0</v>
          </cell>
          <cell r="U234">
            <v>2.8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</row>
        <row r="235">
          <cell r="A235">
            <v>43234</v>
          </cell>
          <cell r="B235">
            <v>234</v>
          </cell>
          <cell r="C235">
            <v>0</v>
          </cell>
          <cell r="D235">
            <v>0</v>
          </cell>
          <cell r="E235">
            <v>0</v>
          </cell>
          <cell r="F235">
            <v>20.100000000000001</v>
          </cell>
          <cell r="G235">
            <v>2.1</v>
          </cell>
          <cell r="H235">
            <v>0.6</v>
          </cell>
          <cell r="I235">
            <v>17.3</v>
          </cell>
          <cell r="J235">
            <v>20.100000000000001</v>
          </cell>
          <cell r="K235">
            <v>0.9</v>
          </cell>
          <cell r="L235">
            <v>1.2</v>
          </cell>
          <cell r="M235">
            <v>0.3</v>
          </cell>
          <cell r="N235">
            <v>0.3</v>
          </cell>
          <cell r="O235">
            <v>1.7</v>
          </cell>
          <cell r="P235">
            <v>0.9</v>
          </cell>
          <cell r="Q235">
            <v>0.5</v>
          </cell>
          <cell r="R235">
            <v>14.2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</row>
        <row r="236">
          <cell r="A236">
            <v>43235</v>
          </cell>
          <cell r="B236">
            <v>235</v>
          </cell>
          <cell r="C236">
            <v>43.6</v>
          </cell>
          <cell r="D236">
            <v>100.4</v>
          </cell>
          <cell r="E236">
            <v>2.2999999999999998</v>
          </cell>
          <cell r="F236">
            <v>64.900000000000006</v>
          </cell>
          <cell r="G236">
            <v>29.7</v>
          </cell>
          <cell r="H236">
            <v>2.9</v>
          </cell>
          <cell r="I236">
            <v>32.299999999999997</v>
          </cell>
          <cell r="J236">
            <v>72.8</v>
          </cell>
          <cell r="K236">
            <v>24</v>
          </cell>
          <cell r="L236">
            <v>5.8</v>
          </cell>
          <cell r="M236">
            <v>1.3</v>
          </cell>
          <cell r="N236">
            <v>1.6</v>
          </cell>
          <cell r="O236">
            <v>8</v>
          </cell>
          <cell r="P236">
            <v>4.3</v>
          </cell>
          <cell r="Q236">
            <v>2.6</v>
          </cell>
          <cell r="R236">
            <v>17.399999999999999</v>
          </cell>
          <cell r="S236">
            <v>0</v>
          </cell>
          <cell r="T236">
            <v>0</v>
          </cell>
          <cell r="U236">
            <v>2.8</v>
          </cell>
          <cell r="V236">
            <v>5.0999999999999996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</row>
        <row r="237">
          <cell r="A237">
            <v>43236</v>
          </cell>
          <cell r="B237">
            <v>236</v>
          </cell>
          <cell r="C237">
            <v>19.3</v>
          </cell>
          <cell r="D237">
            <v>44.1</v>
          </cell>
          <cell r="E237">
            <v>2.2799999999999998</v>
          </cell>
          <cell r="F237">
            <v>324.89999999999998</v>
          </cell>
          <cell r="G237">
            <v>32</v>
          </cell>
          <cell r="H237">
            <v>229.3</v>
          </cell>
          <cell r="I237">
            <v>63.5</v>
          </cell>
          <cell r="J237">
            <v>332.7</v>
          </cell>
          <cell r="K237">
            <v>26.8</v>
          </cell>
          <cell r="L237">
            <v>5.3</v>
          </cell>
          <cell r="M237">
            <v>227.8</v>
          </cell>
          <cell r="N237">
            <v>1.5</v>
          </cell>
          <cell r="O237">
            <v>41.4</v>
          </cell>
          <cell r="P237">
            <v>3.9</v>
          </cell>
          <cell r="Q237">
            <v>2.4</v>
          </cell>
          <cell r="R237">
            <v>15.9</v>
          </cell>
          <cell r="S237">
            <v>0</v>
          </cell>
          <cell r="T237">
            <v>0</v>
          </cell>
          <cell r="U237">
            <v>5.6</v>
          </cell>
          <cell r="V237">
            <v>2.2000000000000002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</row>
        <row r="238">
          <cell r="A238">
            <v>43237</v>
          </cell>
          <cell r="B238">
            <v>237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</row>
        <row r="239">
          <cell r="A239">
            <v>43238</v>
          </cell>
          <cell r="B239">
            <v>238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</row>
        <row r="240">
          <cell r="A240">
            <v>43239</v>
          </cell>
          <cell r="B240">
            <v>239</v>
          </cell>
          <cell r="C240">
            <v>101.4</v>
          </cell>
          <cell r="D240">
            <v>233.4</v>
          </cell>
          <cell r="E240">
            <v>2.2999999999999998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21.6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9.8000000000000007</v>
          </cell>
          <cell r="V240">
            <v>11.8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</row>
        <row r="241">
          <cell r="A241">
            <v>43240</v>
          </cell>
          <cell r="B241">
            <v>240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</row>
        <row r="242">
          <cell r="A242">
            <v>43241</v>
          </cell>
          <cell r="B242">
            <v>241</v>
          </cell>
          <cell r="C242">
            <v>85.9</v>
          </cell>
          <cell r="D242">
            <v>197.8</v>
          </cell>
          <cell r="E242">
            <v>2.2999999999999998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12.8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2.8</v>
          </cell>
          <cell r="V242">
            <v>10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</row>
        <row r="243">
          <cell r="A243">
            <v>43242</v>
          </cell>
          <cell r="B243">
            <v>242</v>
          </cell>
          <cell r="C243">
            <v>209.5</v>
          </cell>
          <cell r="D243">
            <v>482</v>
          </cell>
          <cell r="E243">
            <v>2.2999999999999998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32.700000000000003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8.4</v>
          </cell>
          <cell r="V243">
            <v>24.3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</row>
        <row r="244">
          <cell r="A244">
            <v>43243</v>
          </cell>
          <cell r="B244">
            <v>243</v>
          </cell>
          <cell r="C244">
            <v>105.8</v>
          </cell>
          <cell r="D244">
            <v>176.3</v>
          </cell>
          <cell r="E244">
            <v>1.67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15.1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2.8</v>
          </cell>
          <cell r="V244">
            <v>12.3</v>
          </cell>
          <cell r="W244">
            <v>47</v>
          </cell>
          <cell r="X244">
            <v>0</v>
          </cell>
          <cell r="Y244">
            <v>0</v>
          </cell>
          <cell r="Z244">
            <v>0</v>
          </cell>
        </row>
        <row r="245">
          <cell r="A245">
            <v>43244</v>
          </cell>
          <cell r="B245">
            <v>244</v>
          </cell>
          <cell r="C245">
            <v>17.899999999999999</v>
          </cell>
          <cell r="D245">
            <v>41.2</v>
          </cell>
          <cell r="E245">
            <v>2.2999999999999998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2.1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2.1</v>
          </cell>
          <cell r="W245">
            <v>9</v>
          </cell>
          <cell r="X245">
            <v>0</v>
          </cell>
          <cell r="Y245">
            <v>0</v>
          </cell>
          <cell r="Z245">
            <v>0</v>
          </cell>
        </row>
        <row r="246">
          <cell r="A246">
            <v>43245</v>
          </cell>
          <cell r="B246">
            <v>245</v>
          </cell>
          <cell r="C246">
            <v>93.6</v>
          </cell>
          <cell r="D246">
            <v>215.4</v>
          </cell>
          <cell r="E246">
            <v>2.2999999999999998</v>
          </cell>
          <cell r="F246">
            <v>47.2</v>
          </cell>
          <cell r="G246">
            <v>10.3</v>
          </cell>
          <cell r="H246">
            <v>3</v>
          </cell>
          <cell r="I246">
            <v>33.9</v>
          </cell>
          <cell r="J246">
            <v>63.7</v>
          </cell>
          <cell r="K246">
            <v>4.3</v>
          </cell>
          <cell r="L246">
            <v>6</v>
          </cell>
          <cell r="M246">
            <v>1.3</v>
          </cell>
          <cell r="N246">
            <v>1.7</v>
          </cell>
          <cell r="O246">
            <v>8.6999999999999993</v>
          </cell>
          <cell r="P246">
            <v>4.4000000000000004</v>
          </cell>
          <cell r="Q246">
            <v>2.8</v>
          </cell>
          <cell r="R246">
            <v>18.100000000000001</v>
          </cell>
          <cell r="S246">
            <v>0</v>
          </cell>
          <cell r="T246">
            <v>0</v>
          </cell>
          <cell r="U246">
            <v>5.6</v>
          </cell>
          <cell r="V246">
            <v>10.9</v>
          </cell>
          <cell r="W246">
            <v>51</v>
          </cell>
          <cell r="X246">
            <v>0</v>
          </cell>
          <cell r="Y246">
            <v>0</v>
          </cell>
          <cell r="Z246">
            <v>0</v>
          </cell>
        </row>
        <row r="247">
          <cell r="A247">
            <v>43246</v>
          </cell>
          <cell r="B247">
            <v>246</v>
          </cell>
          <cell r="C247">
            <v>80</v>
          </cell>
          <cell r="D247">
            <v>157.80000000000001</v>
          </cell>
          <cell r="E247">
            <v>1.97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44.5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34.1</v>
          </cell>
          <cell r="V247">
            <v>10.4</v>
          </cell>
          <cell r="W247">
            <v>52</v>
          </cell>
          <cell r="X247">
            <v>0</v>
          </cell>
          <cell r="Y247">
            <v>0</v>
          </cell>
          <cell r="Z247">
            <v>0</v>
          </cell>
        </row>
        <row r="248">
          <cell r="A248">
            <v>43247</v>
          </cell>
          <cell r="B248">
            <v>247</v>
          </cell>
          <cell r="C248">
            <v>173.3</v>
          </cell>
          <cell r="D248">
            <v>290.5</v>
          </cell>
          <cell r="E248">
            <v>1.68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22.9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2.8</v>
          </cell>
          <cell r="V248">
            <v>20.100000000000001</v>
          </cell>
          <cell r="W248">
            <v>0</v>
          </cell>
          <cell r="X248">
            <v>0</v>
          </cell>
          <cell r="Y248">
            <v>64</v>
          </cell>
          <cell r="Z248">
            <v>0</v>
          </cell>
        </row>
        <row r="249">
          <cell r="A249">
            <v>43248</v>
          </cell>
          <cell r="B249">
            <v>248</v>
          </cell>
          <cell r="C249">
            <v>116.9</v>
          </cell>
          <cell r="D249">
            <v>195.9</v>
          </cell>
          <cell r="E249">
            <v>1.68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17.8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4.2</v>
          </cell>
          <cell r="V249">
            <v>13.6</v>
          </cell>
          <cell r="W249">
            <v>0</v>
          </cell>
          <cell r="X249">
            <v>0</v>
          </cell>
          <cell r="Y249">
            <v>38</v>
          </cell>
          <cell r="Z249">
            <v>0</v>
          </cell>
        </row>
        <row r="250">
          <cell r="A250">
            <v>43249</v>
          </cell>
          <cell r="B250">
            <v>249</v>
          </cell>
          <cell r="C250">
            <v>46</v>
          </cell>
          <cell r="D250">
            <v>77.099999999999994</v>
          </cell>
          <cell r="E250">
            <v>1.68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6.7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1.4</v>
          </cell>
          <cell r="V250">
            <v>5.3</v>
          </cell>
          <cell r="W250">
            <v>31</v>
          </cell>
          <cell r="X250">
            <v>0</v>
          </cell>
          <cell r="Y250">
            <v>0</v>
          </cell>
          <cell r="Z250">
            <v>0</v>
          </cell>
        </row>
        <row r="251">
          <cell r="A251">
            <v>43250</v>
          </cell>
          <cell r="B251">
            <v>250</v>
          </cell>
          <cell r="C251">
            <v>111.5</v>
          </cell>
          <cell r="D251">
            <v>256.60000000000002</v>
          </cell>
          <cell r="E251">
            <v>2.2999999999999998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20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7</v>
          </cell>
          <cell r="V251">
            <v>13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</row>
        <row r="252">
          <cell r="A252">
            <v>43251</v>
          </cell>
          <cell r="B252">
            <v>251</v>
          </cell>
          <cell r="C252">
            <v>2.8</v>
          </cell>
          <cell r="D252">
            <v>6.4</v>
          </cell>
          <cell r="E252">
            <v>2.2799999999999998</v>
          </cell>
          <cell r="F252">
            <v>1</v>
          </cell>
          <cell r="G252">
            <v>0.2</v>
          </cell>
          <cell r="H252">
            <v>0.1</v>
          </cell>
          <cell r="I252">
            <v>0.7</v>
          </cell>
          <cell r="J252">
            <v>4.0999999999999996</v>
          </cell>
          <cell r="K252">
            <v>0.1</v>
          </cell>
          <cell r="L252">
            <v>0.1</v>
          </cell>
          <cell r="M252">
            <v>0</v>
          </cell>
          <cell r="N252">
            <v>0</v>
          </cell>
          <cell r="O252">
            <v>0.2</v>
          </cell>
          <cell r="P252">
            <v>0.1</v>
          </cell>
          <cell r="Q252">
            <v>0.1</v>
          </cell>
          <cell r="R252">
            <v>0.4</v>
          </cell>
          <cell r="S252">
            <v>0</v>
          </cell>
          <cell r="T252">
            <v>0</v>
          </cell>
          <cell r="U252">
            <v>2.8</v>
          </cell>
          <cell r="V252">
            <v>0.3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</row>
        <row r="253">
          <cell r="A253">
            <v>43252</v>
          </cell>
          <cell r="B253">
            <v>252</v>
          </cell>
          <cell r="C253">
            <v>0</v>
          </cell>
          <cell r="D253">
            <v>0</v>
          </cell>
          <cell r="E253">
            <v>0</v>
          </cell>
          <cell r="F253">
            <v>149.6</v>
          </cell>
          <cell r="G253">
            <v>140.1</v>
          </cell>
          <cell r="H253">
            <v>0.8</v>
          </cell>
          <cell r="I253">
            <v>8.6999999999999993</v>
          </cell>
          <cell r="J253">
            <v>149.6</v>
          </cell>
          <cell r="K253">
            <v>138.5</v>
          </cell>
          <cell r="L253">
            <v>1.6</v>
          </cell>
          <cell r="M253">
            <v>0.3</v>
          </cell>
          <cell r="N253">
            <v>0.4</v>
          </cell>
          <cell r="O253">
            <v>2.2000000000000002</v>
          </cell>
          <cell r="P253">
            <v>1.2</v>
          </cell>
          <cell r="Q253">
            <v>0.7</v>
          </cell>
          <cell r="R253">
            <v>4.7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</row>
        <row r="254">
          <cell r="A254">
            <v>43253</v>
          </cell>
          <cell r="B254">
            <v>253</v>
          </cell>
          <cell r="C254">
            <v>52.7</v>
          </cell>
          <cell r="D254">
            <v>120.3</v>
          </cell>
          <cell r="E254">
            <v>2.2799999999999998</v>
          </cell>
          <cell r="F254">
            <v>271.5</v>
          </cell>
          <cell r="G254">
            <v>59.3</v>
          </cell>
          <cell r="H254">
            <v>17.3</v>
          </cell>
          <cell r="I254">
            <v>195</v>
          </cell>
          <cell r="J254">
            <v>343.3</v>
          </cell>
          <cell r="K254">
            <v>25</v>
          </cell>
          <cell r="L254">
            <v>34.299999999999997</v>
          </cell>
          <cell r="M254">
            <v>7.6</v>
          </cell>
          <cell r="N254">
            <v>9.6999999999999993</v>
          </cell>
          <cell r="O254">
            <v>49.9</v>
          </cell>
          <cell r="P254">
            <v>25.5</v>
          </cell>
          <cell r="Q254">
            <v>15.9</v>
          </cell>
          <cell r="R254">
            <v>103.7</v>
          </cell>
          <cell r="S254">
            <v>0</v>
          </cell>
          <cell r="T254">
            <v>0</v>
          </cell>
          <cell r="U254">
            <v>65.7</v>
          </cell>
          <cell r="V254">
            <v>6.1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</row>
        <row r="255">
          <cell r="A255">
            <v>43254</v>
          </cell>
          <cell r="B255">
            <v>254</v>
          </cell>
          <cell r="C255">
            <v>0</v>
          </cell>
          <cell r="D255">
            <v>0</v>
          </cell>
          <cell r="E255">
            <v>0</v>
          </cell>
          <cell r="F255">
            <v>239.7</v>
          </cell>
          <cell r="G255">
            <v>17.3</v>
          </cell>
          <cell r="H255">
            <v>22.5</v>
          </cell>
          <cell r="I255">
            <v>200</v>
          </cell>
          <cell r="J255">
            <v>241.1</v>
          </cell>
          <cell r="K255">
            <v>7.4</v>
          </cell>
          <cell r="L255">
            <v>9.9</v>
          </cell>
          <cell r="M255">
            <v>2.2000000000000002</v>
          </cell>
          <cell r="N255">
            <v>20.3</v>
          </cell>
          <cell r="O255">
            <v>13.6</v>
          </cell>
          <cell r="P255">
            <v>152.19999999999999</v>
          </cell>
          <cell r="Q255">
            <v>4.4000000000000004</v>
          </cell>
          <cell r="R255">
            <v>29.7</v>
          </cell>
          <cell r="S255">
            <v>0</v>
          </cell>
          <cell r="T255">
            <v>0</v>
          </cell>
          <cell r="U255">
            <v>1.4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</row>
        <row r="256">
          <cell r="A256">
            <v>43255</v>
          </cell>
          <cell r="B256">
            <v>255</v>
          </cell>
          <cell r="C256">
            <v>0</v>
          </cell>
          <cell r="D256">
            <v>0</v>
          </cell>
          <cell r="E256">
            <v>0</v>
          </cell>
          <cell r="F256">
            <v>126.9</v>
          </cell>
          <cell r="G256">
            <v>1.3</v>
          </cell>
          <cell r="H256">
            <v>0.4</v>
          </cell>
          <cell r="I256">
            <v>125.3</v>
          </cell>
          <cell r="J256">
            <v>126.9</v>
          </cell>
          <cell r="K256">
            <v>0.5</v>
          </cell>
          <cell r="L256">
            <v>0.7</v>
          </cell>
          <cell r="M256">
            <v>0.2</v>
          </cell>
          <cell r="N256">
            <v>0.2</v>
          </cell>
          <cell r="O256">
            <v>1</v>
          </cell>
          <cell r="P256">
            <v>0.5</v>
          </cell>
          <cell r="Q256">
            <v>0.3</v>
          </cell>
          <cell r="R256">
            <v>123.4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</row>
        <row r="257">
          <cell r="A257">
            <v>43256</v>
          </cell>
          <cell r="B257">
            <v>256</v>
          </cell>
          <cell r="C257">
            <v>0</v>
          </cell>
          <cell r="D257">
            <v>0</v>
          </cell>
          <cell r="E257">
            <v>0</v>
          </cell>
          <cell r="F257">
            <v>77</v>
          </cell>
          <cell r="G257">
            <v>2.7</v>
          </cell>
          <cell r="H257">
            <v>0.8</v>
          </cell>
          <cell r="I257">
            <v>73.5</v>
          </cell>
          <cell r="J257">
            <v>77</v>
          </cell>
          <cell r="K257">
            <v>1.1000000000000001</v>
          </cell>
          <cell r="L257">
            <v>1.5</v>
          </cell>
          <cell r="M257">
            <v>0.3</v>
          </cell>
          <cell r="N257">
            <v>0.4</v>
          </cell>
          <cell r="O257">
            <v>2.1</v>
          </cell>
          <cell r="P257">
            <v>66.2</v>
          </cell>
          <cell r="Q257">
            <v>0.7</v>
          </cell>
          <cell r="R257">
            <v>4.5999999999999996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</row>
        <row r="258">
          <cell r="A258">
            <v>43257</v>
          </cell>
          <cell r="B258">
            <v>257</v>
          </cell>
          <cell r="C258">
            <v>34.9</v>
          </cell>
          <cell r="D258">
            <v>79.599999999999994</v>
          </cell>
          <cell r="E258">
            <v>2.2799999999999998</v>
          </cell>
          <cell r="F258">
            <v>129.1</v>
          </cell>
          <cell r="G258">
            <v>28.2</v>
          </cell>
          <cell r="H258">
            <v>8.1999999999999993</v>
          </cell>
          <cell r="I258">
            <v>92.8</v>
          </cell>
          <cell r="J258">
            <v>165.4</v>
          </cell>
          <cell r="K258">
            <v>12</v>
          </cell>
          <cell r="L258">
            <v>16.2</v>
          </cell>
          <cell r="M258">
            <v>3.6</v>
          </cell>
          <cell r="N258">
            <v>4.5999999999999996</v>
          </cell>
          <cell r="O258">
            <v>23.8</v>
          </cell>
          <cell r="P258">
            <v>12.1</v>
          </cell>
          <cell r="Q258">
            <v>7.6</v>
          </cell>
          <cell r="R258">
            <v>49.2</v>
          </cell>
          <cell r="S258">
            <v>0</v>
          </cell>
          <cell r="T258">
            <v>0</v>
          </cell>
          <cell r="U258">
            <v>32.200000000000003</v>
          </cell>
          <cell r="V258">
            <v>4.0999999999999996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</row>
        <row r="259">
          <cell r="A259">
            <v>43258</v>
          </cell>
          <cell r="B259">
            <v>258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</row>
        <row r="260">
          <cell r="A260">
            <v>43259</v>
          </cell>
          <cell r="B260">
            <v>259</v>
          </cell>
          <cell r="C260">
            <v>29.8</v>
          </cell>
          <cell r="D260">
            <v>68.599999999999994</v>
          </cell>
          <cell r="E260">
            <v>2.2999999999999998</v>
          </cell>
          <cell r="F260">
            <v>447.5</v>
          </cell>
          <cell r="G260">
            <v>70.8</v>
          </cell>
          <cell r="H260">
            <v>26.5</v>
          </cell>
          <cell r="I260">
            <v>350.3</v>
          </cell>
          <cell r="J260">
            <v>467.8</v>
          </cell>
          <cell r="K260">
            <v>34.1</v>
          </cell>
          <cell r="L260">
            <v>36.700000000000003</v>
          </cell>
          <cell r="M260">
            <v>8.1</v>
          </cell>
          <cell r="N260">
            <v>18.399999999999999</v>
          </cell>
          <cell r="O260">
            <v>50.9</v>
          </cell>
          <cell r="P260">
            <v>27.3</v>
          </cell>
          <cell r="Q260">
            <v>16.5</v>
          </cell>
          <cell r="R260">
            <v>255.5</v>
          </cell>
          <cell r="S260">
            <v>0</v>
          </cell>
          <cell r="T260">
            <v>0</v>
          </cell>
          <cell r="U260">
            <v>16.8</v>
          </cell>
          <cell r="V260">
            <v>3.5</v>
          </cell>
          <cell r="W260">
            <v>0</v>
          </cell>
          <cell r="X260">
            <v>0</v>
          </cell>
          <cell r="Y260">
            <v>22</v>
          </cell>
          <cell r="Z260">
            <v>0</v>
          </cell>
        </row>
        <row r="261">
          <cell r="A261">
            <v>43260</v>
          </cell>
          <cell r="B261">
            <v>260</v>
          </cell>
          <cell r="C261">
            <v>5.0999999999999996</v>
          </cell>
          <cell r="D261">
            <v>11.7</v>
          </cell>
          <cell r="E261">
            <v>2.2799999999999998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10.4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9.8000000000000007</v>
          </cell>
          <cell r="V261">
            <v>0.6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</row>
        <row r="262">
          <cell r="A262">
            <v>43261</v>
          </cell>
          <cell r="B262">
            <v>261</v>
          </cell>
          <cell r="C262">
            <v>330</v>
          </cell>
          <cell r="D262">
            <v>430.7</v>
          </cell>
          <cell r="E262">
            <v>1.31</v>
          </cell>
          <cell r="F262">
            <v>35.700000000000003</v>
          </cell>
          <cell r="G262">
            <v>0.3</v>
          </cell>
          <cell r="H262">
            <v>0.1</v>
          </cell>
          <cell r="I262">
            <v>35.4</v>
          </cell>
          <cell r="J262">
            <v>74</v>
          </cell>
          <cell r="K262">
            <v>0.1</v>
          </cell>
          <cell r="L262">
            <v>0.2</v>
          </cell>
          <cell r="M262">
            <v>0</v>
          </cell>
          <cell r="N262">
            <v>0</v>
          </cell>
          <cell r="O262">
            <v>0.2</v>
          </cell>
          <cell r="P262">
            <v>1</v>
          </cell>
          <cell r="Q262">
            <v>0.9</v>
          </cell>
          <cell r="R262">
            <v>33.200000000000003</v>
          </cell>
          <cell r="S262">
            <v>0</v>
          </cell>
          <cell r="T262">
            <v>0</v>
          </cell>
          <cell r="U262">
            <v>0</v>
          </cell>
          <cell r="V262">
            <v>38.299999999999997</v>
          </cell>
          <cell r="W262">
            <v>16</v>
          </cell>
          <cell r="X262">
            <v>0</v>
          </cell>
          <cell r="Y262">
            <v>0</v>
          </cell>
          <cell r="Z262">
            <v>0</v>
          </cell>
        </row>
        <row r="263">
          <cell r="A263">
            <v>43262</v>
          </cell>
          <cell r="B263">
            <v>262</v>
          </cell>
          <cell r="C263">
            <v>28</v>
          </cell>
          <cell r="D263">
            <v>63.9</v>
          </cell>
          <cell r="E263">
            <v>2.2799999999999998</v>
          </cell>
          <cell r="F263">
            <v>190.9</v>
          </cell>
          <cell r="G263">
            <v>14.4</v>
          </cell>
          <cell r="H263">
            <v>4.2</v>
          </cell>
          <cell r="I263">
            <v>172.4</v>
          </cell>
          <cell r="J263">
            <v>248.8</v>
          </cell>
          <cell r="K263">
            <v>6.2</v>
          </cell>
          <cell r="L263">
            <v>8.3000000000000007</v>
          </cell>
          <cell r="M263">
            <v>1.8</v>
          </cell>
          <cell r="N263">
            <v>2.2999999999999998</v>
          </cell>
          <cell r="O263">
            <v>17.3</v>
          </cell>
          <cell r="P263">
            <v>126.6</v>
          </cell>
          <cell r="Q263">
            <v>3.7</v>
          </cell>
          <cell r="R263">
            <v>24.8</v>
          </cell>
          <cell r="S263">
            <v>0</v>
          </cell>
          <cell r="T263">
            <v>0</v>
          </cell>
          <cell r="U263">
            <v>54.5</v>
          </cell>
          <cell r="V263">
            <v>3.3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</row>
        <row r="264">
          <cell r="A264">
            <v>43263</v>
          </cell>
          <cell r="B264">
            <v>263</v>
          </cell>
          <cell r="C264">
            <v>4.8</v>
          </cell>
          <cell r="D264">
            <v>11</v>
          </cell>
          <cell r="E264">
            <v>2.2799999999999998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9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8.4</v>
          </cell>
          <cell r="V264">
            <v>0.6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</row>
        <row r="265">
          <cell r="A265">
            <v>43264</v>
          </cell>
          <cell r="B265">
            <v>264</v>
          </cell>
          <cell r="C265">
            <v>58.2</v>
          </cell>
          <cell r="D265">
            <v>99.5</v>
          </cell>
          <cell r="E265">
            <v>1.71</v>
          </cell>
          <cell r="F265">
            <v>83.8</v>
          </cell>
          <cell r="G265">
            <v>1.5</v>
          </cell>
          <cell r="H265">
            <v>0.4</v>
          </cell>
          <cell r="I265">
            <v>81.8</v>
          </cell>
          <cell r="J265">
            <v>99</v>
          </cell>
          <cell r="K265">
            <v>0.6</v>
          </cell>
          <cell r="L265">
            <v>0.9</v>
          </cell>
          <cell r="M265">
            <v>0.2</v>
          </cell>
          <cell r="N265">
            <v>0.2</v>
          </cell>
          <cell r="O265">
            <v>1.2</v>
          </cell>
          <cell r="P265">
            <v>77.599999999999994</v>
          </cell>
          <cell r="Q265">
            <v>0.4</v>
          </cell>
          <cell r="R265">
            <v>2.6</v>
          </cell>
          <cell r="S265">
            <v>0</v>
          </cell>
          <cell r="T265">
            <v>0</v>
          </cell>
          <cell r="U265">
            <v>8.4</v>
          </cell>
          <cell r="V265">
            <v>6.8</v>
          </cell>
          <cell r="W265">
            <v>23</v>
          </cell>
          <cell r="X265">
            <v>0</v>
          </cell>
          <cell r="Y265">
            <v>0</v>
          </cell>
          <cell r="Z265">
            <v>0</v>
          </cell>
        </row>
        <row r="266">
          <cell r="A266">
            <v>43265</v>
          </cell>
          <cell r="B266">
            <v>265</v>
          </cell>
          <cell r="C266">
            <v>0</v>
          </cell>
          <cell r="D266">
            <v>0</v>
          </cell>
          <cell r="E266">
            <v>0</v>
          </cell>
          <cell r="F266">
            <v>101.2</v>
          </cell>
          <cell r="G266">
            <v>6.8</v>
          </cell>
          <cell r="H266">
            <v>2</v>
          </cell>
          <cell r="I266">
            <v>92.4</v>
          </cell>
          <cell r="J266">
            <v>102.6</v>
          </cell>
          <cell r="K266">
            <v>2.9</v>
          </cell>
          <cell r="L266">
            <v>3.9</v>
          </cell>
          <cell r="M266">
            <v>0.9</v>
          </cell>
          <cell r="N266">
            <v>1.1000000000000001</v>
          </cell>
          <cell r="O266">
            <v>5.3</v>
          </cell>
          <cell r="P266">
            <v>2.9</v>
          </cell>
          <cell r="Q266">
            <v>1.7</v>
          </cell>
          <cell r="R266">
            <v>82.5</v>
          </cell>
          <cell r="S266">
            <v>0</v>
          </cell>
          <cell r="T266">
            <v>0</v>
          </cell>
          <cell r="U266">
            <v>1.4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</row>
        <row r="267">
          <cell r="A267">
            <v>43266</v>
          </cell>
          <cell r="B267">
            <v>266</v>
          </cell>
          <cell r="C267">
            <v>267.5</v>
          </cell>
          <cell r="D267">
            <v>479.2</v>
          </cell>
          <cell r="E267">
            <v>1.79</v>
          </cell>
          <cell r="F267">
            <v>117.8</v>
          </cell>
          <cell r="G267">
            <v>1</v>
          </cell>
          <cell r="H267">
            <v>85.1</v>
          </cell>
          <cell r="I267">
            <v>31.7</v>
          </cell>
          <cell r="J267">
            <v>183.8</v>
          </cell>
          <cell r="K267">
            <v>0.4</v>
          </cell>
          <cell r="L267">
            <v>0.6</v>
          </cell>
          <cell r="M267">
            <v>83.7</v>
          </cell>
          <cell r="N267">
            <v>1.5</v>
          </cell>
          <cell r="O267">
            <v>2.7</v>
          </cell>
          <cell r="P267">
            <v>0.4</v>
          </cell>
          <cell r="Q267">
            <v>0.4</v>
          </cell>
          <cell r="R267">
            <v>28.1</v>
          </cell>
          <cell r="S267">
            <v>0</v>
          </cell>
          <cell r="T267">
            <v>0</v>
          </cell>
          <cell r="U267">
            <v>34.9</v>
          </cell>
          <cell r="V267">
            <v>31.1</v>
          </cell>
          <cell r="W267">
            <v>0</v>
          </cell>
          <cell r="X267">
            <v>0</v>
          </cell>
          <cell r="Y267">
            <v>238</v>
          </cell>
          <cell r="Z267">
            <v>0</v>
          </cell>
        </row>
        <row r="268">
          <cell r="A268">
            <v>43267</v>
          </cell>
          <cell r="B268">
            <v>267</v>
          </cell>
          <cell r="C268">
            <v>0</v>
          </cell>
          <cell r="D268">
            <v>0</v>
          </cell>
          <cell r="E268">
            <v>0</v>
          </cell>
          <cell r="F268">
            <v>417.8</v>
          </cell>
          <cell r="G268">
            <v>181</v>
          </cell>
          <cell r="H268">
            <v>1</v>
          </cell>
          <cell r="I268">
            <v>235.9</v>
          </cell>
          <cell r="J268">
            <v>417.8</v>
          </cell>
          <cell r="K268">
            <v>104.6</v>
          </cell>
          <cell r="L268">
            <v>76.400000000000006</v>
          </cell>
          <cell r="M268">
            <v>0.4</v>
          </cell>
          <cell r="N268">
            <v>0.5</v>
          </cell>
          <cell r="O268">
            <v>174.5</v>
          </cell>
          <cell r="P268">
            <v>1.4</v>
          </cell>
          <cell r="Q268">
            <v>53.8</v>
          </cell>
          <cell r="R268">
            <v>6.2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</row>
        <row r="269">
          <cell r="A269">
            <v>43268</v>
          </cell>
          <cell r="B269">
            <v>268</v>
          </cell>
          <cell r="C269">
            <v>214.6</v>
          </cell>
          <cell r="D269">
            <v>317.7</v>
          </cell>
          <cell r="E269">
            <v>1.48</v>
          </cell>
          <cell r="F269">
            <v>99.5</v>
          </cell>
          <cell r="G269">
            <v>6.3</v>
          </cell>
          <cell r="H269">
            <v>4.2</v>
          </cell>
          <cell r="I269">
            <v>89</v>
          </cell>
          <cell r="J269">
            <v>125.8</v>
          </cell>
          <cell r="K269">
            <v>2.7</v>
          </cell>
          <cell r="L269">
            <v>3.6</v>
          </cell>
          <cell r="M269">
            <v>0.8</v>
          </cell>
          <cell r="N269">
            <v>3.4</v>
          </cell>
          <cell r="O269">
            <v>30.7</v>
          </cell>
          <cell r="P269">
            <v>37.799999999999997</v>
          </cell>
          <cell r="Q269">
            <v>9.6</v>
          </cell>
          <cell r="R269">
            <v>10.8</v>
          </cell>
          <cell r="S269">
            <v>0</v>
          </cell>
          <cell r="T269">
            <v>0</v>
          </cell>
          <cell r="U269">
            <v>1.4</v>
          </cell>
          <cell r="V269">
            <v>24.9</v>
          </cell>
          <cell r="W269">
            <v>0</v>
          </cell>
          <cell r="X269">
            <v>0</v>
          </cell>
          <cell r="Y269">
            <v>55</v>
          </cell>
          <cell r="Z269">
            <v>0</v>
          </cell>
        </row>
        <row r="270">
          <cell r="A270">
            <v>43269</v>
          </cell>
          <cell r="B270">
            <v>269</v>
          </cell>
          <cell r="C270">
            <v>62.1</v>
          </cell>
          <cell r="D270">
            <v>242.4</v>
          </cell>
          <cell r="E270">
            <v>3.9</v>
          </cell>
          <cell r="F270">
            <v>15.3</v>
          </cell>
          <cell r="G270">
            <v>0.7</v>
          </cell>
          <cell r="H270">
            <v>1.7</v>
          </cell>
          <cell r="I270">
            <v>12.8</v>
          </cell>
          <cell r="J270">
            <v>26.7</v>
          </cell>
          <cell r="K270">
            <v>0.7</v>
          </cell>
          <cell r="L270">
            <v>0.1</v>
          </cell>
          <cell r="M270">
            <v>0</v>
          </cell>
          <cell r="N270">
            <v>1.7</v>
          </cell>
          <cell r="O270">
            <v>6.3</v>
          </cell>
          <cell r="P270">
            <v>0</v>
          </cell>
          <cell r="Q270">
            <v>0</v>
          </cell>
          <cell r="R270">
            <v>6.5</v>
          </cell>
          <cell r="S270">
            <v>0</v>
          </cell>
          <cell r="T270">
            <v>0</v>
          </cell>
          <cell r="U270">
            <v>4.2</v>
          </cell>
          <cell r="V270">
            <v>7.2</v>
          </cell>
          <cell r="W270">
            <v>5</v>
          </cell>
          <cell r="X270">
            <v>0</v>
          </cell>
          <cell r="Y270">
            <v>0</v>
          </cell>
          <cell r="Z270">
            <v>0</v>
          </cell>
        </row>
        <row r="271">
          <cell r="A271">
            <v>43270</v>
          </cell>
          <cell r="B271">
            <v>270</v>
          </cell>
          <cell r="C271">
            <v>85.7</v>
          </cell>
          <cell r="D271">
            <v>148.1</v>
          </cell>
          <cell r="E271">
            <v>1.73</v>
          </cell>
          <cell r="F271">
            <v>29</v>
          </cell>
          <cell r="G271">
            <v>4.8</v>
          </cell>
          <cell r="H271">
            <v>0.1</v>
          </cell>
          <cell r="I271">
            <v>24.1</v>
          </cell>
          <cell r="J271">
            <v>40.4</v>
          </cell>
          <cell r="K271">
            <v>0.1</v>
          </cell>
          <cell r="L271">
            <v>4.7</v>
          </cell>
          <cell r="M271">
            <v>0</v>
          </cell>
          <cell r="N271">
            <v>0</v>
          </cell>
          <cell r="O271">
            <v>10.7</v>
          </cell>
          <cell r="P271">
            <v>0.1</v>
          </cell>
          <cell r="Q271">
            <v>7.2</v>
          </cell>
          <cell r="R271">
            <v>6.1</v>
          </cell>
          <cell r="S271">
            <v>0</v>
          </cell>
          <cell r="T271">
            <v>0</v>
          </cell>
          <cell r="U271">
            <v>1.4</v>
          </cell>
          <cell r="V271">
            <v>10</v>
          </cell>
          <cell r="W271">
            <v>0</v>
          </cell>
          <cell r="X271">
            <v>0</v>
          </cell>
          <cell r="Y271">
            <v>15</v>
          </cell>
          <cell r="Z271">
            <v>0</v>
          </cell>
        </row>
        <row r="272">
          <cell r="A272">
            <v>43271</v>
          </cell>
          <cell r="B272">
            <v>271</v>
          </cell>
          <cell r="C272">
            <v>12.2</v>
          </cell>
          <cell r="D272">
            <v>44.1</v>
          </cell>
          <cell r="E272">
            <v>3.63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1.4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1.4</v>
          </cell>
          <cell r="W272">
            <v>0</v>
          </cell>
          <cell r="X272">
            <v>0</v>
          </cell>
          <cell r="Y272">
            <v>4</v>
          </cell>
          <cell r="Z272">
            <v>0</v>
          </cell>
        </row>
        <row r="273">
          <cell r="A273">
            <v>43272</v>
          </cell>
          <cell r="B273">
            <v>272</v>
          </cell>
          <cell r="C273">
            <v>168.3</v>
          </cell>
          <cell r="D273">
            <v>386.3</v>
          </cell>
          <cell r="E273">
            <v>2.2999999999999998</v>
          </cell>
          <cell r="F273">
            <v>10.199999999999999</v>
          </cell>
          <cell r="G273">
            <v>0.1</v>
          </cell>
          <cell r="H273">
            <v>0</v>
          </cell>
          <cell r="I273">
            <v>10.1</v>
          </cell>
          <cell r="J273">
            <v>40.9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0.1</v>
          </cell>
          <cell r="P273">
            <v>0</v>
          </cell>
          <cell r="Q273">
            <v>1</v>
          </cell>
          <cell r="R273">
            <v>9</v>
          </cell>
          <cell r="S273">
            <v>0</v>
          </cell>
          <cell r="T273">
            <v>0</v>
          </cell>
          <cell r="U273">
            <v>11.2</v>
          </cell>
          <cell r="V273">
            <v>19.5</v>
          </cell>
          <cell r="W273">
            <v>0</v>
          </cell>
          <cell r="X273">
            <v>0</v>
          </cell>
          <cell r="Y273">
            <v>61</v>
          </cell>
          <cell r="Z273">
            <v>0</v>
          </cell>
        </row>
        <row r="274">
          <cell r="A274">
            <v>43273</v>
          </cell>
          <cell r="B274">
            <v>273</v>
          </cell>
          <cell r="C274">
            <v>0</v>
          </cell>
          <cell r="D274">
            <v>0</v>
          </cell>
          <cell r="E274">
            <v>0</v>
          </cell>
          <cell r="F274">
            <v>153.30000000000001</v>
          </cell>
          <cell r="G274">
            <v>2.8</v>
          </cell>
          <cell r="H274">
            <v>0.8</v>
          </cell>
          <cell r="I274">
            <v>149.80000000000001</v>
          </cell>
          <cell r="J274">
            <v>153.30000000000001</v>
          </cell>
          <cell r="K274">
            <v>1.2</v>
          </cell>
          <cell r="L274">
            <v>1.6</v>
          </cell>
          <cell r="M274">
            <v>0.4</v>
          </cell>
          <cell r="N274">
            <v>0.4</v>
          </cell>
          <cell r="O274">
            <v>2.2000000000000002</v>
          </cell>
          <cell r="P274">
            <v>142.1</v>
          </cell>
          <cell r="Q274">
            <v>0.7</v>
          </cell>
          <cell r="R274">
            <v>4.8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</row>
        <row r="275">
          <cell r="A275">
            <v>43274</v>
          </cell>
          <cell r="B275">
            <v>274</v>
          </cell>
          <cell r="C275">
            <v>0</v>
          </cell>
          <cell r="D275">
            <v>0</v>
          </cell>
          <cell r="E275">
            <v>0</v>
          </cell>
          <cell r="F275">
            <v>600</v>
          </cell>
          <cell r="G275">
            <v>131.6</v>
          </cell>
          <cell r="H275">
            <v>38.5</v>
          </cell>
          <cell r="I275">
            <v>429.9</v>
          </cell>
          <cell r="J275">
            <v>600</v>
          </cell>
          <cell r="K275">
            <v>51.8</v>
          </cell>
          <cell r="L275">
            <v>79.8</v>
          </cell>
          <cell r="M275">
            <v>16.7</v>
          </cell>
          <cell r="N275">
            <v>21.8</v>
          </cell>
          <cell r="O275">
            <v>108.7</v>
          </cell>
          <cell r="P275">
            <v>55.9</v>
          </cell>
          <cell r="Q275">
            <v>34.6</v>
          </cell>
          <cell r="R275">
            <v>230.7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413</v>
          </cell>
        </row>
        <row r="276">
          <cell r="A276">
            <v>43275</v>
          </cell>
          <cell r="B276">
            <v>275</v>
          </cell>
          <cell r="C276">
            <v>62.7</v>
          </cell>
          <cell r="D276">
            <v>101</v>
          </cell>
          <cell r="E276">
            <v>1.61</v>
          </cell>
          <cell r="F276">
            <v>53.2</v>
          </cell>
          <cell r="G276">
            <v>3.2</v>
          </cell>
          <cell r="H276">
            <v>0.9</v>
          </cell>
          <cell r="I276">
            <v>49.1</v>
          </cell>
          <cell r="J276">
            <v>67.5</v>
          </cell>
          <cell r="K276">
            <v>1.4</v>
          </cell>
          <cell r="L276">
            <v>1.8</v>
          </cell>
          <cell r="M276">
            <v>0.4</v>
          </cell>
          <cell r="N276">
            <v>0.5</v>
          </cell>
          <cell r="O276">
            <v>2.5</v>
          </cell>
          <cell r="P276">
            <v>1.4</v>
          </cell>
          <cell r="Q276">
            <v>0.8</v>
          </cell>
          <cell r="R276">
            <v>44.4</v>
          </cell>
          <cell r="S276">
            <v>0</v>
          </cell>
          <cell r="T276">
            <v>0</v>
          </cell>
          <cell r="U276">
            <v>7</v>
          </cell>
          <cell r="V276">
            <v>7.3</v>
          </cell>
          <cell r="W276">
            <v>0</v>
          </cell>
          <cell r="X276">
            <v>0</v>
          </cell>
          <cell r="Y276">
            <v>256</v>
          </cell>
          <cell r="Z276">
            <v>0</v>
          </cell>
        </row>
        <row r="277">
          <cell r="A277">
            <v>43276</v>
          </cell>
          <cell r="B277">
            <v>276</v>
          </cell>
          <cell r="C277">
            <v>131.6</v>
          </cell>
          <cell r="D277">
            <v>234.3</v>
          </cell>
          <cell r="E277">
            <v>1.78</v>
          </cell>
          <cell r="F277">
            <v>8.1</v>
          </cell>
          <cell r="G277">
            <v>0.1</v>
          </cell>
          <cell r="H277">
            <v>0.8</v>
          </cell>
          <cell r="I277">
            <v>7.3</v>
          </cell>
          <cell r="J277">
            <v>23.4</v>
          </cell>
          <cell r="K277">
            <v>0</v>
          </cell>
          <cell r="L277">
            <v>0</v>
          </cell>
          <cell r="M277">
            <v>0</v>
          </cell>
          <cell r="N277">
            <v>0.8</v>
          </cell>
          <cell r="O277">
            <v>5.8</v>
          </cell>
          <cell r="P277">
            <v>0</v>
          </cell>
          <cell r="Q277">
            <v>0</v>
          </cell>
          <cell r="R277">
            <v>1.4</v>
          </cell>
          <cell r="S277">
            <v>0</v>
          </cell>
          <cell r="T277">
            <v>0</v>
          </cell>
          <cell r="U277">
            <v>0</v>
          </cell>
          <cell r="V277">
            <v>15.3</v>
          </cell>
          <cell r="W277">
            <v>1</v>
          </cell>
          <cell r="X277">
            <v>0</v>
          </cell>
          <cell r="Y277">
            <v>34</v>
          </cell>
          <cell r="Z277">
            <v>0</v>
          </cell>
        </row>
        <row r="278">
          <cell r="A278">
            <v>43277</v>
          </cell>
          <cell r="B278">
            <v>277</v>
          </cell>
          <cell r="C278">
            <v>51</v>
          </cell>
          <cell r="D278">
            <v>95.7</v>
          </cell>
          <cell r="E278">
            <v>1.87</v>
          </cell>
          <cell r="F278">
            <v>23.9</v>
          </cell>
          <cell r="G278">
            <v>0.8</v>
          </cell>
          <cell r="H278">
            <v>0.2</v>
          </cell>
          <cell r="I278">
            <v>22.8</v>
          </cell>
          <cell r="J278">
            <v>29.8</v>
          </cell>
          <cell r="K278">
            <v>0.3</v>
          </cell>
          <cell r="L278">
            <v>0.5</v>
          </cell>
          <cell r="M278">
            <v>0.1</v>
          </cell>
          <cell r="N278">
            <v>0.1</v>
          </cell>
          <cell r="O278">
            <v>0.6</v>
          </cell>
          <cell r="P278">
            <v>1.4</v>
          </cell>
          <cell r="Q278">
            <v>1.2</v>
          </cell>
          <cell r="R278">
            <v>19.600000000000001</v>
          </cell>
          <cell r="S278">
            <v>0</v>
          </cell>
          <cell r="T278">
            <v>0</v>
          </cell>
          <cell r="U278">
            <v>0</v>
          </cell>
          <cell r="V278">
            <v>5.9</v>
          </cell>
          <cell r="W278">
            <v>8</v>
          </cell>
          <cell r="X278">
            <v>0</v>
          </cell>
          <cell r="Y278">
            <v>0</v>
          </cell>
          <cell r="Z278">
            <v>0</v>
          </cell>
        </row>
        <row r="279">
          <cell r="A279">
            <v>43278</v>
          </cell>
          <cell r="B279">
            <v>278</v>
          </cell>
          <cell r="C279">
            <v>171.9</v>
          </cell>
          <cell r="D279">
            <v>367.4</v>
          </cell>
          <cell r="E279">
            <v>2.14</v>
          </cell>
          <cell r="F279">
            <v>49.4</v>
          </cell>
          <cell r="G279">
            <v>1.6</v>
          </cell>
          <cell r="H279">
            <v>1.3</v>
          </cell>
          <cell r="I279">
            <v>46.4</v>
          </cell>
          <cell r="J279">
            <v>72.2</v>
          </cell>
          <cell r="K279">
            <v>0.7</v>
          </cell>
          <cell r="L279">
            <v>1</v>
          </cell>
          <cell r="M279">
            <v>1.1000000000000001</v>
          </cell>
          <cell r="N279">
            <v>0.3</v>
          </cell>
          <cell r="O279">
            <v>17.899999999999999</v>
          </cell>
          <cell r="P279">
            <v>0.7</v>
          </cell>
          <cell r="Q279">
            <v>0.4</v>
          </cell>
          <cell r="R279">
            <v>27.4</v>
          </cell>
          <cell r="S279">
            <v>0</v>
          </cell>
          <cell r="T279">
            <v>0</v>
          </cell>
          <cell r="U279">
            <v>2.8</v>
          </cell>
          <cell r="V279">
            <v>20</v>
          </cell>
          <cell r="W279">
            <v>26</v>
          </cell>
          <cell r="X279">
            <v>0</v>
          </cell>
          <cell r="Y279">
            <v>0</v>
          </cell>
          <cell r="Z279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_SUMMIT_2050_US40_Richardson_"/>
    </sheetNames>
    <sheetDataSet>
      <sheetData sheetId="0">
        <row r="1">
          <cell r="A1" t="str">
            <v>;CO_TAZID</v>
          </cell>
          <cell r="B1" t="str">
            <v>Index</v>
          </cell>
          <cell r="C1" t="str">
            <v>TOTHH</v>
          </cell>
          <cell r="D1" t="str">
            <v>HHPOP</v>
          </cell>
          <cell r="E1" t="str">
            <v>HHSIZE</v>
          </cell>
          <cell r="F1" t="str">
            <v>TOTEMP</v>
          </cell>
          <cell r="G1" t="str">
            <v>RETEMP</v>
          </cell>
          <cell r="H1" t="str">
            <v>INDEMP</v>
          </cell>
          <cell r="I1" t="str">
            <v>OTHEMP</v>
          </cell>
          <cell r="J1" t="str">
            <v>ALLEMP</v>
          </cell>
          <cell r="K1" t="str">
            <v>RETL</v>
          </cell>
          <cell r="L1" t="str">
            <v>FOOD</v>
          </cell>
          <cell r="M1" t="str">
            <v>MANU</v>
          </cell>
          <cell r="N1" t="str">
            <v>WSLE</v>
          </cell>
          <cell r="O1" t="str">
            <v>OFFI</v>
          </cell>
          <cell r="P1" t="str">
            <v>GVED</v>
          </cell>
          <cell r="Q1" t="str">
            <v>HLTH</v>
          </cell>
          <cell r="R1" t="str">
            <v>OTHR</v>
          </cell>
          <cell r="S1" t="str">
            <v>FM_AGRI</v>
          </cell>
          <cell r="T1" t="str">
            <v>FM_MING</v>
          </cell>
          <cell r="U1" t="str">
            <v>FM_CONS</v>
          </cell>
          <cell r="V1" t="str">
            <v>HBJ</v>
          </cell>
          <cell r="W1" t="str">
            <v>SEC_HOME</v>
          </cell>
          <cell r="X1" t="str">
            <v>CABIN</v>
          </cell>
          <cell r="Y1" t="str">
            <v>CONDO</v>
          </cell>
          <cell r="Z1" t="str">
            <v>HOTEL</v>
          </cell>
        </row>
        <row r="2">
          <cell r="A2">
            <v>43001</v>
          </cell>
          <cell r="B2">
            <v>1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2</v>
          </cell>
          <cell r="X2">
            <v>0</v>
          </cell>
          <cell r="Y2">
            <v>0</v>
          </cell>
          <cell r="Z2">
            <v>0</v>
          </cell>
        </row>
        <row r="3">
          <cell r="A3">
            <v>43002</v>
          </cell>
          <cell r="B3">
            <v>2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</row>
        <row r="4">
          <cell r="A4">
            <v>43003</v>
          </cell>
          <cell r="B4">
            <v>3</v>
          </cell>
          <cell r="C4">
            <v>36.299999999999997</v>
          </cell>
          <cell r="D4">
            <v>102.2</v>
          </cell>
          <cell r="E4">
            <v>2.81</v>
          </cell>
          <cell r="F4">
            <v>3.7</v>
          </cell>
          <cell r="G4">
            <v>0.1</v>
          </cell>
          <cell r="H4">
            <v>0</v>
          </cell>
          <cell r="I4">
            <v>3.6</v>
          </cell>
          <cell r="J4">
            <v>9.8000000000000007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3.5</v>
          </cell>
          <cell r="P4">
            <v>0</v>
          </cell>
          <cell r="Q4">
            <v>0</v>
          </cell>
          <cell r="R4">
            <v>0.1</v>
          </cell>
          <cell r="S4">
            <v>0</v>
          </cell>
          <cell r="T4">
            <v>0</v>
          </cell>
          <cell r="U4">
            <v>1.9</v>
          </cell>
          <cell r="V4">
            <v>4.3</v>
          </cell>
          <cell r="W4">
            <v>13</v>
          </cell>
          <cell r="X4">
            <v>0</v>
          </cell>
          <cell r="Y4">
            <v>0</v>
          </cell>
          <cell r="Z4">
            <v>0</v>
          </cell>
        </row>
        <row r="5">
          <cell r="A5">
            <v>43004</v>
          </cell>
          <cell r="B5">
            <v>4</v>
          </cell>
          <cell r="C5">
            <v>515.5</v>
          </cell>
          <cell r="D5">
            <v>1381.2</v>
          </cell>
          <cell r="E5">
            <v>2.68</v>
          </cell>
          <cell r="F5">
            <v>317.2</v>
          </cell>
          <cell r="G5">
            <v>4.3</v>
          </cell>
          <cell r="H5">
            <v>24.9</v>
          </cell>
          <cell r="I5">
            <v>288</v>
          </cell>
          <cell r="J5">
            <v>406.1</v>
          </cell>
          <cell r="K5">
            <v>1.9</v>
          </cell>
          <cell r="L5">
            <v>2.4</v>
          </cell>
          <cell r="M5">
            <v>0.5</v>
          </cell>
          <cell r="N5">
            <v>24.4</v>
          </cell>
          <cell r="O5">
            <v>72.900000000000006</v>
          </cell>
          <cell r="P5">
            <v>18.600000000000001</v>
          </cell>
          <cell r="Q5">
            <v>1.1000000000000001</v>
          </cell>
          <cell r="R5">
            <v>195.4</v>
          </cell>
          <cell r="S5">
            <v>0</v>
          </cell>
          <cell r="T5">
            <v>0</v>
          </cell>
          <cell r="U5">
            <v>27.8</v>
          </cell>
          <cell r="V5">
            <v>61.1</v>
          </cell>
          <cell r="W5">
            <v>98</v>
          </cell>
          <cell r="X5">
            <v>0</v>
          </cell>
          <cell r="Y5">
            <v>0</v>
          </cell>
          <cell r="Z5">
            <v>0</v>
          </cell>
        </row>
        <row r="6">
          <cell r="A6">
            <v>43005</v>
          </cell>
          <cell r="B6">
            <v>5</v>
          </cell>
          <cell r="C6">
            <v>560.29999999999995</v>
          </cell>
          <cell r="D6">
            <v>1440.2</v>
          </cell>
          <cell r="E6">
            <v>2.57</v>
          </cell>
          <cell r="F6">
            <v>135</v>
          </cell>
          <cell r="G6">
            <v>0</v>
          </cell>
          <cell r="H6">
            <v>17.5</v>
          </cell>
          <cell r="I6">
            <v>117.5</v>
          </cell>
          <cell r="J6">
            <v>216.3</v>
          </cell>
          <cell r="K6">
            <v>0</v>
          </cell>
          <cell r="L6">
            <v>0</v>
          </cell>
          <cell r="M6">
            <v>14.9</v>
          </cell>
          <cell r="N6">
            <v>2.6</v>
          </cell>
          <cell r="O6">
            <v>80.599999999999994</v>
          </cell>
          <cell r="P6">
            <v>0</v>
          </cell>
          <cell r="Q6">
            <v>0</v>
          </cell>
          <cell r="R6">
            <v>37</v>
          </cell>
          <cell r="S6">
            <v>0</v>
          </cell>
          <cell r="T6">
            <v>0</v>
          </cell>
          <cell r="U6">
            <v>14.8</v>
          </cell>
          <cell r="V6">
            <v>66.400000000000006</v>
          </cell>
          <cell r="W6">
            <v>92</v>
          </cell>
          <cell r="X6">
            <v>0</v>
          </cell>
          <cell r="Y6">
            <v>0</v>
          </cell>
          <cell r="Z6">
            <v>0</v>
          </cell>
        </row>
        <row r="7">
          <cell r="A7">
            <v>43006</v>
          </cell>
          <cell r="B7">
            <v>6</v>
          </cell>
          <cell r="C7">
            <v>10</v>
          </cell>
          <cell r="D7">
            <v>22.1</v>
          </cell>
          <cell r="E7">
            <v>2.21</v>
          </cell>
          <cell r="F7">
            <v>370.8</v>
          </cell>
          <cell r="G7">
            <v>40</v>
          </cell>
          <cell r="H7">
            <v>85.9</v>
          </cell>
          <cell r="I7">
            <v>244.9</v>
          </cell>
          <cell r="J7">
            <v>373.8</v>
          </cell>
          <cell r="K7">
            <v>31.3</v>
          </cell>
          <cell r="L7">
            <v>8.6999999999999993</v>
          </cell>
          <cell r="M7">
            <v>1.9</v>
          </cell>
          <cell r="N7">
            <v>84</v>
          </cell>
          <cell r="O7">
            <v>52.4</v>
          </cell>
          <cell r="P7">
            <v>111.1</v>
          </cell>
          <cell r="Q7">
            <v>35.4</v>
          </cell>
          <cell r="R7">
            <v>46</v>
          </cell>
          <cell r="S7">
            <v>0</v>
          </cell>
          <cell r="T7">
            <v>0</v>
          </cell>
          <cell r="U7">
            <v>1.9</v>
          </cell>
          <cell r="V7">
            <v>1.2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</row>
        <row r="8">
          <cell r="A8">
            <v>43007</v>
          </cell>
          <cell r="B8">
            <v>7</v>
          </cell>
          <cell r="C8">
            <v>96.3</v>
          </cell>
          <cell r="D8">
            <v>213.5</v>
          </cell>
          <cell r="E8">
            <v>2.2200000000000002</v>
          </cell>
          <cell r="F8">
            <v>16.7</v>
          </cell>
          <cell r="G8">
            <v>3.8</v>
          </cell>
          <cell r="H8">
            <v>1</v>
          </cell>
          <cell r="I8">
            <v>11.9</v>
          </cell>
          <cell r="J8">
            <v>83.8</v>
          </cell>
          <cell r="K8">
            <v>1.6</v>
          </cell>
          <cell r="L8">
            <v>2.2000000000000002</v>
          </cell>
          <cell r="M8">
            <v>0.5</v>
          </cell>
          <cell r="N8">
            <v>0.6</v>
          </cell>
          <cell r="O8">
            <v>3.2</v>
          </cell>
          <cell r="P8">
            <v>1.6</v>
          </cell>
          <cell r="Q8">
            <v>1</v>
          </cell>
          <cell r="R8">
            <v>6.2</v>
          </cell>
          <cell r="S8">
            <v>0</v>
          </cell>
          <cell r="T8">
            <v>0</v>
          </cell>
          <cell r="U8">
            <v>55.6</v>
          </cell>
          <cell r="V8">
            <v>11.4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</row>
        <row r="9">
          <cell r="A9">
            <v>43008</v>
          </cell>
          <cell r="B9">
            <v>8</v>
          </cell>
          <cell r="C9">
            <v>0</v>
          </cell>
          <cell r="D9">
            <v>0</v>
          </cell>
          <cell r="E9">
            <v>0</v>
          </cell>
          <cell r="F9">
            <v>565.79999999999995</v>
          </cell>
          <cell r="G9">
            <v>22.3</v>
          </cell>
          <cell r="H9">
            <v>23.9</v>
          </cell>
          <cell r="I9">
            <v>519.6</v>
          </cell>
          <cell r="J9">
            <v>565.79999999999995</v>
          </cell>
          <cell r="K9">
            <v>18.5</v>
          </cell>
          <cell r="L9">
            <v>3.9</v>
          </cell>
          <cell r="M9">
            <v>11.9</v>
          </cell>
          <cell r="N9">
            <v>12</v>
          </cell>
          <cell r="O9">
            <v>373.6</v>
          </cell>
          <cell r="P9">
            <v>3</v>
          </cell>
          <cell r="Q9">
            <v>37.5</v>
          </cell>
          <cell r="R9">
            <v>105.5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</row>
        <row r="10">
          <cell r="A10">
            <v>43009</v>
          </cell>
          <cell r="B10">
            <v>9</v>
          </cell>
          <cell r="C10">
            <v>704.9</v>
          </cell>
          <cell r="D10">
            <v>1700.9</v>
          </cell>
          <cell r="E10">
            <v>2.41</v>
          </cell>
          <cell r="F10">
            <v>218.3</v>
          </cell>
          <cell r="G10">
            <v>8.9</v>
          </cell>
          <cell r="H10">
            <v>89</v>
          </cell>
          <cell r="I10">
            <v>120.5</v>
          </cell>
          <cell r="J10">
            <v>348.2</v>
          </cell>
          <cell r="K10">
            <v>2.4</v>
          </cell>
          <cell r="L10">
            <v>6.4</v>
          </cell>
          <cell r="M10">
            <v>0.9</v>
          </cell>
          <cell r="N10">
            <v>88.1</v>
          </cell>
          <cell r="O10">
            <v>24.9</v>
          </cell>
          <cell r="P10">
            <v>2.2999999999999998</v>
          </cell>
          <cell r="Q10">
            <v>18.3</v>
          </cell>
          <cell r="R10">
            <v>74.900000000000006</v>
          </cell>
          <cell r="S10">
            <v>0</v>
          </cell>
          <cell r="T10">
            <v>0</v>
          </cell>
          <cell r="U10">
            <v>46.4</v>
          </cell>
          <cell r="V10">
            <v>83.5</v>
          </cell>
          <cell r="W10">
            <v>120</v>
          </cell>
          <cell r="X10">
            <v>0</v>
          </cell>
          <cell r="Y10">
            <v>0</v>
          </cell>
          <cell r="Z10">
            <v>0</v>
          </cell>
        </row>
        <row r="11">
          <cell r="A11">
            <v>43010</v>
          </cell>
          <cell r="B11">
            <v>10</v>
          </cell>
          <cell r="C11">
            <v>752</v>
          </cell>
          <cell r="D11">
            <v>1406.7</v>
          </cell>
          <cell r="E11">
            <v>1.87</v>
          </cell>
          <cell r="F11">
            <v>183.4</v>
          </cell>
          <cell r="G11">
            <v>30.3</v>
          </cell>
          <cell r="H11">
            <v>9</v>
          </cell>
          <cell r="I11">
            <v>144.1</v>
          </cell>
          <cell r="J11">
            <v>278.10000000000002</v>
          </cell>
          <cell r="K11">
            <v>0</v>
          </cell>
          <cell r="L11">
            <v>30.3</v>
          </cell>
          <cell r="M11">
            <v>0.3</v>
          </cell>
          <cell r="N11">
            <v>8.6999999999999993</v>
          </cell>
          <cell r="O11">
            <v>46.5</v>
          </cell>
          <cell r="P11">
            <v>1.4</v>
          </cell>
          <cell r="Q11">
            <v>6.5</v>
          </cell>
          <cell r="R11">
            <v>89.7</v>
          </cell>
          <cell r="S11">
            <v>0</v>
          </cell>
          <cell r="T11">
            <v>0</v>
          </cell>
          <cell r="U11">
            <v>5.6</v>
          </cell>
          <cell r="V11">
            <v>89.1</v>
          </cell>
          <cell r="W11">
            <v>79</v>
          </cell>
          <cell r="X11">
            <v>0</v>
          </cell>
          <cell r="Y11">
            <v>0</v>
          </cell>
          <cell r="Z11">
            <v>0</v>
          </cell>
        </row>
        <row r="12">
          <cell r="A12">
            <v>43011</v>
          </cell>
          <cell r="B12">
            <v>11</v>
          </cell>
          <cell r="C12">
            <v>69.900000000000006</v>
          </cell>
          <cell r="D12">
            <v>214</v>
          </cell>
          <cell r="E12">
            <v>3.06</v>
          </cell>
          <cell r="F12">
            <v>3.6</v>
          </cell>
          <cell r="G12">
            <v>0</v>
          </cell>
          <cell r="H12">
            <v>0</v>
          </cell>
          <cell r="I12">
            <v>3.6</v>
          </cell>
          <cell r="J12">
            <v>19.3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2.1</v>
          </cell>
          <cell r="P12">
            <v>0</v>
          </cell>
          <cell r="Q12">
            <v>0</v>
          </cell>
          <cell r="R12">
            <v>1.5</v>
          </cell>
          <cell r="S12">
            <v>0</v>
          </cell>
          <cell r="T12">
            <v>0</v>
          </cell>
          <cell r="U12">
            <v>7.4</v>
          </cell>
          <cell r="V12">
            <v>8.3000000000000007</v>
          </cell>
          <cell r="W12">
            <v>64</v>
          </cell>
          <cell r="X12">
            <v>0</v>
          </cell>
          <cell r="Y12">
            <v>0</v>
          </cell>
          <cell r="Z12">
            <v>0</v>
          </cell>
        </row>
        <row r="13">
          <cell r="A13">
            <v>43012</v>
          </cell>
          <cell r="B13">
            <v>12</v>
          </cell>
          <cell r="C13">
            <v>24.4</v>
          </cell>
          <cell r="D13">
            <v>34.200000000000003</v>
          </cell>
          <cell r="E13">
            <v>1.4</v>
          </cell>
          <cell r="F13">
            <v>5.3</v>
          </cell>
          <cell r="G13">
            <v>0</v>
          </cell>
          <cell r="H13">
            <v>0</v>
          </cell>
          <cell r="I13">
            <v>5.3</v>
          </cell>
          <cell r="J13">
            <v>10.1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3.9</v>
          </cell>
          <cell r="P13">
            <v>0</v>
          </cell>
          <cell r="Q13">
            <v>0</v>
          </cell>
          <cell r="R13">
            <v>1.3</v>
          </cell>
          <cell r="S13">
            <v>0</v>
          </cell>
          <cell r="T13">
            <v>0</v>
          </cell>
          <cell r="U13">
            <v>1.9</v>
          </cell>
          <cell r="V13">
            <v>2.9</v>
          </cell>
          <cell r="W13">
            <v>12</v>
          </cell>
          <cell r="X13">
            <v>0</v>
          </cell>
          <cell r="Y13">
            <v>0</v>
          </cell>
          <cell r="Z13">
            <v>0</v>
          </cell>
        </row>
        <row r="14">
          <cell r="A14">
            <v>43013</v>
          </cell>
          <cell r="B14">
            <v>13</v>
          </cell>
          <cell r="C14">
            <v>60.9</v>
          </cell>
          <cell r="D14">
            <v>137.6</v>
          </cell>
          <cell r="E14">
            <v>2.2599999999999998</v>
          </cell>
          <cell r="F14">
            <v>1.9</v>
          </cell>
          <cell r="G14">
            <v>0</v>
          </cell>
          <cell r="H14">
            <v>0</v>
          </cell>
          <cell r="I14">
            <v>1.8</v>
          </cell>
          <cell r="J14">
            <v>9.1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1.8</v>
          </cell>
          <cell r="S14">
            <v>0</v>
          </cell>
          <cell r="T14">
            <v>0</v>
          </cell>
          <cell r="U14">
            <v>0</v>
          </cell>
          <cell r="V14">
            <v>7.2</v>
          </cell>
          <cell r="W14">
            <v>10</v>
          </cell>
          <cell r="X14">
            <v>0</v>
          </cell>
          <cell r="Y14">
            <v>0</v>
          </cell>
          <cell r="Z14">
            <v>0</v>
          </cell>
        </row>
        <row r="15">
          <cell r="A15">
            <v>43014</v>
          </cell>
          <cell r="B15">
            <v>14</v>
          </cell>
          <cell r="C15">
            <v>34.799999999999997</v>
          </cell>
          <cell r="D15">
            <v>145.5</v>
          </cell>
          <cell r="E15">
            <v>4.18</v>
          </cell>
          <cell r="F15">
            <v>57.2</v>
          </cell>
          <cell r="G15">
            <v>0.7</v>
          </cell>
          <cell r="H15">
            <v>1.9</v>
          </cell>
          <cell r="I15">
            <v>54.5</v>
          </cell>
          <cell r="J15">
            <v>65</v>
          </cell>
          <cell r="K15">
            <v>0.4</v>
          </cell>
          <cell r="L15">
            <v>0.4</v>
          </cell>
          <cell r="M15">
            <v>0.1</v>
          </cell>
          <cell r="N15">
            <v>1.8</v>
          </cell>
          <cell r="O15">
            <v>0.5</v>
          </cell>
          <cell r="P15">
            <v>0.3</v>
          </cell>
          <cell r="Q15">
            <v>0.2</v>
          </cell>
          <cell r="R15">
            <v>53.5</v>
          </cell>
          <cell r="S15">
            <v>0</v>
          </cell>
          <cell r="T15">
            <v>0</v>
          </cell>
          <cell r="U15">
            <v>3.7</v>
          </cell>
          <cell r="V15">
            <v>4.0999999999999996</v>
          </cell>
          <cell r="W15">
            <v>11</v>
          </cell>
          <cell r="X15">
            <v>0</v>
          </cell>
          <cell r="Y15">
            <v>0</v>
          </cell>
          <cell r="Z15">
            <v>0</v>
          </cell>
        </row>
        <row r="16">
          <cell r="A16">
            <v>43015</v>
          </cell>
          <cell r="B16">
            <v>15</v>
          </cell>
          <cell r="C16">
            <v>39.799999999999997</v>
          </cell>
          <cell r="D16">
            <v>101.8</v>
          </cell>
          <cell r="E16">
            <v>2.56</v>
          </cell>
          <cell r="F16">
            <v>3.9</v>
          </cell>
          <cell r="G16">
            <v>0.1</v>
          </cell>
          <cell r="H16">
            <v>3.6</v>
          </cell>
          <cell r="I16">
            <v>0.2</v>
          </cell>
          <cell r="J16">
            <v>8.6</v>
          </cell>
          <cell r="K16">
            <v>0</v>
          </cell>
          <cell r="L16">
            <v>0</v>
          </cell>
          <cell r="M16">
            <v>0</v>
          </cell>
          <cell r="N16">
            <v>3.6</v>
          </cell>
          <cell r="O16">
            <v>0.1</v>
          </cell>
          <cell r="P16">
            <v>0</v>
          </cell>
          <cell r="Q16">
            <v>0</v>
          </cell>
          <cell r="R16">
            <v>0.1</v>
          </cell>
          <cell r="S16">
            <v>0</v>
          </cell>
          <cell r="T16">
            <v>0</v>
          </cell>
          <cell r="U16">
            <v>0</v>
          </cell>
          <cell r="V16">
            <v>4.7</v>
          </cell>
          <cell r="W16">
            <v>12</v>
          </cell>
          <cell r="X16">
            <v>0</v>
          </cell>
          <cell r="Y16">
            <v>0</v>
          </cell>
          <cell r="Z16">
            <v>0</v>
          </cell>
        </row>
        <row r="17">
          <cell r="A17">
            <v>43016</v>
          </cell>
          <cell r="B17">
            <v>16</v>
          </cell>
          <cell r="C17">
            <v>75.3</v>
          </cell>
          <cell r="D17">
            <v>188</v>
          </cell>
          <cell r="E17">
            <v>2.5</v>
          </cell>
          <cell r="F17">
            <v>31.3</v>
          </cell>
          <cell r="G17">
            <v>0.3</v>
          </cell>
          <cell r="H17">
            <v>7.9</v>
          </cell>
          <cell r="I17">
            <v>23</v>
          </cell>
          <cell r="J17">
            <v>42</v>
          </cell>
          <cell r="K17">
            <v>0.1</v>
          </cell>
          <cell r="L17">
            <v>0.2</v>
          </cell>
          <cell r="M17">
            <v>0</v>
          </cell>
          <cell r="N17">
            <v>7.9</v>
          </cell>
          <cell r="O17">
            <v>9</v>
          </cell>
          <cell r="P17">
            <v>0.1</v>
          </cell>
          <cell r="Q17">
            <v>0.9</v>
          </cell>
          <cell r="R17">
            <v>13.1</v>
          </cell>
          <cell r="S17">
            <v>0</v>
          </cell>
          <cell r="T17">
            <v>0</v>
          </cell>
          <cell r="U17">
            <v>1.9</v>
          </cell>
          <cell r="V17">
            <v>8.9</v>
          </cell>
          <cell r="W17">
            <v>17</v>
          </cell>
          <cell r="X17">
            <v>0</v>
          </cell>
          <cell r="Y17">
            <v>0</v>
          </cell>
          <cell r="Z17">
            <v>0</v>
          </cell>
        </row>
        <row r="18">
          <cell r="A18">
            <v>43017</v>
          </cell>
          <cell r="B18">
            <v>17</v>
          </cell>
          <cell r="C18">
            <v>71.099999999999994</v>
          </cell>
          <cell r="D18">
            <v>113.3</v>
          </cell>
          <cell r="E18">
            <v>1.59</v>
          </cell>
          <cell r="F18">
            <v>356.8</v>
          </cell>
          <cell r="G18">
            <v>4.5999999999999996</v>
          </cell>
          <cell r="H18">
            <v>3</v>
          </cell>
          <cell r="I18">
            <v>349.2</v>
          </cell>
          <cell r="J18">
            <v>370.7</v>
          </cell>
          <cell r="K18">
            <v>2</v>
          </cell>
          <cell r="L18">
            <v>2.6</v>
          </cell>
          <cell r="M18">
            <v>2.2999999999999998</v>
          </cell>
          <cell r="N18">
            <v>0.7</v>
          </cell>
          <cell r="O18">
            <v>49.5</v>
          </cell>
          <cell r="P18">
            <v>2</v>
          </cell>
          <cell r="Q18">
            <v>1.2</v>
          </cell>
          <cell r="R18">
            <v>296.60000000000002</v>
          </cell>
          <cell r="S18">
            <v>0</v>
          </cell>
          <cell r="T18">
            <v>0</v>
          </cell>
          <cell r="U18">
            <v>5.6</v>
          </cell>
          <cell r="V18">
            <v>8.4</v>
          </cell>
          <cell r="W18">
            <v>76</v>
          </cell>
          <cell r="X18">
            <v>0</v>
          </cell>
          <cell r="Y18">
            <v>0</v>
          </cell>
          <cell r="Z18">
            <v>0</v>
          </cell>
        </row>
        <row r="19">
          <cell r="A19">
            <v>43018</v>
          </cell>
          <cell r="B19">
            <v>18</v>
          </cell>
          <cell r="C19">
            <v>93.9</v>
          </cell>
          <cell r="D19">
            <v>343.8</v>
          </cell>
          <cell r="E19">
            <v>3.66</v>
          </cell>
          <cell r="F19">
            <v>76.5</v>
          </cell>
          <cell r="G19">
            <v>9.3000000000000007</v>
          </cell>
          <cell r="H19">
            <v>2.5</v>
          </cell>
          <cell r="I19">
            <v>64.7</v>
          </cell>
          <cell r="J19">
            <v>100.5</v>
          </cell>
          <cell r="K19">
            <v>4.0999999999999996</v>
          </cell>
          <cell r="L19">
            <v>5.2</v>
          </cell>
          <cell r="M19">
            <v>1.1000000000000001</v>
          </cell>
          <cell r="N19">
            <v>1.4</v>
          </cell>
          <cell r="O19">
            <v>23.6</v>
          </cell>
          <cell r="P19">
            <v>4</v>
          </cell>
          <cell r="Q19">
            <v>2.2999999999999998</v>
          </cell>
          <cell r="R19">
            <v>34.700000000000003</v>
          </cell>
          <cell r="S19">
            <v>0</v>
          </cell>
          <cell r="T19">
            <v>0</v>
          </cell>
          <cell r="U19">
            <v>13</v>
          </cell>
          <cell r="V19">
            <v>11.1</v>
          </cell>
          <cell r="W19">
            <v>17</v>
          </cell>
          <cell r="X19">
            <v>0</v>
          </cell>
          <cell r="Y19">
            <v>0</v>
          </cell>
          <cell r="Z19">
            <v>0</v>
          </cell>
        </row>
        <row r="20">
          <cell r="A20">
            <v>43019</v>
          </cell>
          <cell r="B20">
            <v>19</v>
          </cell>
          <cell r="C20">
            <v>114.4</v>
          </cell>
          <cell r="D20">
            <v>350.1</v>
          </cell>
          <cell r="E20">
            <v>3.06</v>
          </cell>
          <cell r="F20">
            <v>173.4</v>
          </cell>
          <cell r="G20">
            <v>18.100000000000001</v>
          </cell>
          <cell r="H20">
            <v>15.5</v>
          </cell>
          <cell r="I20">
            <v>139.80000000000001</v>
          </cell>
          <cell r="J20">
            <v>187</v>
          </cell>
          <cell r="K20">
            <v>9</v>
          </cell>
          <cell r="L20">
            <v>9.1</v>
          </cell>
          <cell r="M20">
            <v>1.1000000000000001</v>
          </cell>
          <cell r="N20">
            <v>14.4</v>
          </cell>
          <cell r="O20">
            <v>7.7</v>
          </cell>
          <cell r="P20">
            <v>4.0999999999999996</v>
          </cell>
          <cell r="Q20">
            <v>27.1</v>
          </cell>
          <cell r="R20">
            <v>100.9</v>
          </cell>
          <cell r="S20">
            <v>0</v>
          </cell>
          <cell r="T20">
            <v>0</v>
          </cell>
          <cell r="U20">
            <v>0</v>
          </cell>
          <cell r="V20">
            <v>13.6</v>
          </cell>
          <cell r="W20">
            <v>20</v>
          </cell>
          <cell r="X20">
            <v>0</v>
          </cell>
          <cell r="Y20">
            <v>0</v>
          </cell>
          <cell r="Z20">
            <v>0</v>
          </cell>
        </row>
        <row r="21">
          <cell r="A21">
            <v>43020</v>
          </cell>
          <cell r="B21">
            <v>20</v>
          </cell>
          <cell r="C21">
            <v>0</v>
          </cell>
          <cell r="D21">
            <v>0</v>
          </cell>
          <cell r="E21">
            <v>0</v>
          </cell>
          <cell r="F21">
            <v>93.1</v>
          </cell>
          <cell r="G21">
            <v>34.799999999999997</v>
          </cell>
          <cell r="H21">
            <v>1</v>
          </cell>
          <cell r="I21">
            <v>57.2</v>
          </cell>
          <cell r="J21">
            <v>93.1</v>
          </cell>
          <cell r="K21">
            <v>31.9</v>
          </cell>
          <cell r="L21">
            <v>2.9</v>
          </cell>
          <cell r="M21">
            <v>0.5</v>
          </cell>
          <cell r="N21">
            <v>0.6</v>
          </cell>
          <cell r="O21">
            <v>48.6</v>
          </cell>
          <cell r="P21">
            <v>1.6</v>
          </cell>
          <cell r="Q21">
            <v>0.9</v>
          </cell>
          <cell r="R21">
            <v>6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</row>
        <row r="22">
          <cell r="A22">
            <v>43021</v>
          </cell>
          <cell r="B22">
            <v>21</v>
          </cell>
          <cell r="C22">
            <v>87.5</v>
          </cell>
          <cell r="D22">
            <v>260.8</v>
          </cell>
          <cell r="E22">
            <v>2.98</v>
          </cell>
          <cell r="F22">
            <v>67.900000000000006</v>
          </cell>
          <cell r="G22">
            <v>9</v>
          </cell>
          <cell r="H22">
            <v>2.2999999999999998</v>
          </cell>
          <cell r="I22">
            <v>56.6</v>
          </cell>
          <cell r="J22">
            <v>80.2</v>
          </cell>
          <cell r="K22">
            <v>8.5</v>
          </cell>
          <cell r="L22">
            <v>0.5</v>
          </cell>
          <cell r="M22">
            <v>0.1</v>
          </cell>
          <cell r="N22">
            <v>2.2000000000000002</v>
          </cell>
          <cell r="O22">
            <v>0.7</v>
          </cell>
          <cell r="P22">
            <v>0.4</v>
          </cell>
          <cell r="Q22">
            <v>54.2</v>
          </cell>
          <cell r="R22">
            <v>1.3</v>
          </cell>
          <cell r="S22">
            <v>0</v>
          </cell>
          <cell r="T22">
            <v>0</v>
          </cell>
          <cell r="U22">
            <v>1.9</v>
          </cell>
          <cell r="V22">
            <v>10.4</v>
          </cell>
          <cell r="W22">
            <v>18</v>
          </cell>
          <cell r="X22">
            <v>0</v>
          </cell>
          <cell r="Y22">
            <v>0</v>
          </cell>
          <cell r="Z22">
            <v>0</v>
          </cell>
        </row>
        <row r="23">
          <cell r="A23">
            <v>43022</v>
          </cell>
          <cell r="B23">
            <v>22</v>
          </cell>
          <cell r="C23">
            <v>154.1</v>
          </cell>
          <cell r="D23">
            <v>240.8</v>
          </cell>
          <cell r="E23">
            <v>1.56</v>
          </cell>
          <cell r="F23">
            <v>54.4</v>
          </cell>
          <cell r="G23">
            <v>27.4</v>
          </cell>
          <cell r="H23">
            <v>2.9</v>
          </cell>
          <cell r="I23">
            <v>24</v>
          </cell>
          <cell r="J23">
            <v>74.5</v>
          </cell>
          <cell r="K23">
            <v>0.2</v>
          </cell>
          <cell r="L23">
            <v>27.2</v>
          </cell>
          <cell r="M23">
            <v>0.1</v>
          </cell>
          <cell r="N23">
            <v>2.8</v>
          </cell>
          <cell r="O23">
            <v>12.4</v>
          </cell>
          <cell r="P23">
            <v>2.4</v>
          </cell>
          <cell r="Q23">
            <v>3.3</v>
          </cell>
          <cell r="R23">
            <v>5.9</v>
          </cell>
          <cell r="S23">
            <v>0</v>
          </cell>
          <cell r="T23">
            <v>0</v>
          </cell>
          <cell r="U23">
            <v>1.9</v>
          </cell>
          <cell r="V23">
            <v>18.3</v>
          </cell>
          <cell r="W23">
            <v>26</v>
          </cell>
          <cell r="X23">
            <v>0</v>
          </cell>
          <cell r="Y23">
            <v>0</v>
          </cell>
          <cell r="Z23">
            <v>0</v>
          </cell>
        </row>
        <row r="24">
          <cell r="A24">
            <v>43023</v>
          </cell>
          <cell r="B24">
            <v>23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</row>
        <row r="25">
          <cell r="A25">
            <v>43024</v>
          </cell>
          <cell r="B25">
            <v>24</v>
          </cell>
          <cell r="C25">
            <v>175.4</v>
          </cell>
          <cell r="D25">
            <v>286.2</v>
          </cell>
          <cell r="E25">
            <v>1.63</v>
          </cell>
          <cell r="F25">
            <v>3.5</v>
          </cell>
          <cell r="G25">
            <v>0</v>
          </cell>
          <cell r="H25">
            <v>0</v>
          </cell>
          <cell r="I25">
            <v>3.5</v>
          </cell>
          <cell r="J25">
            <v>35.4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3.4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11.1</v>
          </cell>
          <cell r="V25">
            <v>20.8</v>
          </cell>
          <cell r="W25">
            <v>18</v>
          </cell>
          <cell r="X25">
            <v>0</v>
          </cell>
          <cell r="Y25">
            <v>0</v>
          </cell>
          <cell r="Z25">
            <v>0</v>
          </cell>
        </row>
        <row r="26">
          <cell r="A26">
            <v>43025</v>
          </cell>
          <cell r="B26">
            <v>25</v>
          </cell>
          <cell r="C26">
            <v>0</v>
          </cell>
          <cell r="D26">
            <v>0</v>
          </cell>
          <cell r="E26">
            <v>0</v>
          </cell>
          <cell r="F26">
            <v>918.7</v>
          </cell>
          <cell r="G26">
            <v>627</v>
          </cell>
          <cell r="H26">
            <v>25</v>
          </cell>
          <cell r="I26">
            <v>266.60000000000002</v>
          </cell>
          <cell r="J26">
            <v>924.3</v>
          </cell>
          <cell r="K26">
            <v>578.79999999999995</v>
          </cell>
          <cell r="L26">
            <v>48.2</v>
          </cell>
          <cell r="M26">
            <v>10.4</v>
          </cell>
          <cell r="N26">
            <v>14.7</v>
          </cell>
          <cell r="O26">
            <v>69.8</v>
          </cell>
          <cell r="P26">
            <v>37</v>
          </cell>
          <cell r="Q26">
            <v>21.7</v>
          </cell>
          <cell r="R26">
            <v>138.1</v>
          </cell>
          <cell r="S26">
            <v>0</v>
          </cell>
          <cell r="T26">
            <v>0</v>
          </cell>
          <cell r="U26">
            <v>5.6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</row>
        <row r="27">
          <cell r="A27">
            <v>43026</v>
          </cell>
          <cell r="B27">
            <v>26</v>
          </cell>
          <cell r="C27">
            <v>19.600000000000001</v>
          </cell>
          <cell r="D27">
            <v>23.5</v>
          </cell>
          <cell r="E27">
            <v>1.2</v>
          </cell>
          <cell r="F27">
            <v>314.39999999999998</v>
          </cell>
          <cell r="G27">
            <v>200.4</v>
          </cell>
          <cell r="H27">
            <v>9.1</v>
          </cell>
          <cell r="I27">
            <v>104.8</v>
          </cell>
          <cell r="J27">
            <v>318.5</v>
          </cell>
          <cell r="K27">
            <v>143</v>
          </cell>
          <cell r="L27">
            <v>57.4</v>
          </cell>
          <cell r="M27">
            <v>4.0999999999999996</v>
          </cell>
          <cell r="N27">
            <v>5</v>
          </cell>
          <cell r="O27">
            <v>27.5</v>
          </cell>
          <cell r="P27">
            <v>14.5</v>
          </cell>
          <cell r="Q27">
            <v>8.5</v>
          </cell>
          <cell r="R27">
            <v>54.3</v>
          </cell>
          <cell r="S27">
            <v>0</v>
          </cell>
          <cell r="T27">
            <v>0</v>
          </cell>
          <cell r="U27">
            <v>1.9</v>
          </cell>
          <cell r="V27">
            <v>2.2999999999999998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</row>
        <row r="28">
          <cell r="A28">
            <v>43027</v>
          </cell>
          <cell r="B28">
            <v>27</v>
          </cell>
          <cell r="C28">
            <v>150</v>
          </cell>
          <cell r="D28">
            <v>252.7</v>
          </cell>
          <cell r="E28">
            <v>1.68</v>
          </cell>
          <cell r="F28">
            <v>31.1</v>
          </cell>
          <cell r="G28">
            <v>6.3</v>
          </cell>
          <cell r="H28">
            <v>1.7</v>
          </cell>
          <cell r="I28">
            <v>23.1</v>
          </cell>
          <cell r="J28">
            <v>50.7</v>
          </cell>
          <cell r="K28">
            <v>2.8</v>
          </cell>
          <cell r="L28">
            <v>3.5</v>
          </cell>
          <cell r="M28">
            <v>0.8</v>
          </cell>
          <cell r="N28">
            <v>0.9</v>
          </cell>
          <cell r="O28">
            <v>5.3</v>
          </cell>
          <cell r="P28">
            <v>2.7</v>
          </cell>
          <cell r="Q28">
            <v>1.6</v>
          </cell>
          <cell r="R28">
            <v>13.4</v>
          </cell>
          <cell r="S28">
            <v>0</v>
          </cell>
          <cell r="T28">
            <v>0</v>
          </cell>
          <cell r="U28">
            <v>1.9</v>
          </cell>
          <cell r="V28">
            <v>17.8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</row>
        <row r="29">
          <cell r="A29">
            <v>43028</v>
          </cell>
          <cell r="B29">
            <v>28</v>
          </cell>
          <cell r="C29">
            <v>670.9</v>
          </cell>
          <cell r="D29">
            <v>1479.6</v>
          </cell>
          <cell r="E29">
            <v>2.21</v>
          </cell>
          <cell r="F29">
            <v>407.7</v>
          </cell>
          <cell r="G29">
            <v>94.5</v>
          </cell>
          <cell r="H29">
            <v>24.8</v>
          </cell>
          <cell r="I29">
            <v>288.39999999999998</v>
          </cell>
          <cell r="J29">
            <v>800.6</v>
          </cell>
          <cell r="K29">
            <v>36.700000000000003</v>
          </cell>
          <cell r="L29">
            <v>57.7</v>
          </cell>
          <cell r="M29">
            <v>10</v>
          </cell>
          <cell r="N29">
            <v>14.8</v>
          </cell>
          <cell r="O29">
            <v>63.2</v>
          </cell>
          <cell r="P29">
            <v>74.7</v>
          </cell>
          <cell r="Q29">
            <v>20.100000000000001</v>
          </cell>
          <cell r="R29">
            <v>130.4</v>
          </cell>
          <cell r="S29">
            <v>0</v>
          </cell>
          <cell r="T29">
            <v>0</v>
          </cell>
          <cell r="U29">
            <v>313.3</v>
          </cell>
          <cell r="V29">
            <v>79.5</v>
          </cell>
          <cell r="W29">
            <v>0</v>
          </cell>
          <cell r="X29">
            <v>0</v>
          </cell>
          <cell r="Y29">
            <v>0</v>
          </cell>
          <cell r="Z29">
            <v>130</v>
          </cell>
        </row>
        <row r="30">
          <cell r="A30">
            <v>43029</v>
          </cell>
          <cell r="B30">
            <v>29</v>
          </cell>
          <cell r="C30">
            <v>0</v>
          </cell>
          <cell r="D30">
            <v>0</v>
          </cell>
          <cell r="E30">
            <v>0</v>
          </cell>
          <cell r="F30">
            <v>397</v>
          </cell>
          <cell r="G30">
            <v>234.6</v>
          </cell>
          <cell r="H30">
            <v>13</v>
          </cell>
          <cell r="I30">
            <v>149.4</v>
          </cell>
          <cell r="J30">
            <v>400.7</v>
          </cell>
          <cell r="K30">
            <v>184.9</v>
          </cell>
          <cell r="L30">
            <v>49.7</v>
          </cell>
          <cell r="M30">
            <v>5.8</v>
          </cell>
          <cell r="N30">
            <v>7.2</v>
          </cell>
          <cell r="O30">
            <v>39.200000000000003</v>
          </cell>
          <cell r="P30">
            <v>20.7</v>
          </cell>
          <cell r="Q30">
            <v>12.2</v>
          </cell>
          <cell r="R30">
            <v>77.3</v>
          </cell>
          <cell r="S30">
            <v>0</v>
          </cell>
          <cell r="T30">
            <v>0</v>
          </cell>
          <cell r="U30">
            <v>3.7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81</v>
          </cell>
        </row>
        <row r="31">
          <cell r="A31">
            <v>43030</v>
          </cell>
          <cell r="B31">
            <v>30</v>
          </cell>
          <cell r="C31">
            <v>0</v>
          </cell>
          <cell r="D31">
            <v>0</v>
          </cell>
          <cell r="E31">
            <v>0</v>
          </cell>
          <cell r="F31">
            <v>466.7</v>
          </cell>
          <cell r="G31">
            <v>261.60000000000002</v>
          </cell>
          <cell r="H31">
            <v>17.7</v>
          </cell>
          <cell r="I31">
            <v>187.3</v>
          </cell>
          <cell r="J31">
            <v>470.4</v>
          </cell>
          <cell r="K31">
            <v>92.7</v>
          </cell>
          <cell r="L31">
            <v>168.9</v>
          </cell>
          <cell r="M31">
            <v>5.6</v>
          </cell>
          <cell r="N31">
            <v>12.1</v>
          </cell>
          <cell r="O31">
            <v>37.700000000000003</v>
          </cell>
          <cell r="P31">
            <v>20</v>
          </cell>
          <cell r="Q31">
            <v>17.3</v>
          </cell>
          <cell r="R31">
            <v>112.3</v>
          </cell>
          <cell r="S31">
            <v>0</v>
          </cell>
          <cell r="T31">
            <v>0</v>
          </cell>
          <cell r="U31">
            <v>3.7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105</v>
          </cell>
        </row>
        <row r="32">
          <cell r="A32">
            <v>43031</v>
          </cell>
          <cell r="B32">
            <v>31</v>
          </cell>
          <cell r="C32">
            <v>0</v>
          </cell>
          <cell r="D32">
            <v>0</v>
          </cell>
          <cell r="E32">
            <v>0</v>
          </cell>
          <cell r="F32">
            <v>426.4</v>
          </cell>
          <cell r="G32">
            <v>58</v>
          </cell>
          <cell r="H32">
            <v>22.1</v>
          </cell>
          <cell r="I32">
            <v>346.2</v>
          </cell>
          <cell r="J32">
            <v>426.4</v>
          </cell>
          <cell r="K32">
            <v>2.5</v>
          </cell>
          <cell r="L32">
            <v>55.5</v>
          </cell>
          <cell r="M32">
            <v>0.7</v>
          </cell>
          <cell r="N32">
            <v>21.5</v>
          </cell>
          <cell r="O32">
            <v>143.9</v>
          </cell>
          <cell r="P32">
            <v>2.4</v>
          </cell>
          <cell r="Q32">
            <v>31.9</v>
          </cell>
          <cell r="R32">
            <v>168.1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</row>
        <row r="33">
          <cell r="A33">
            <v>43032</v>
          </cell>
          <cell r="B33">
            <v>32</v>
          </cell>
          <cell r="C33">
            <v>0</v>
          </cell>
          <cell r="D33">
            <v>0</v>
          </cell>
          <cell r="E33">
            <v>0</v>
          </cell>
          <cell r="F33">
            <v>1276.5999999999999</v>
          </cell>
          <cell r="G33">
            <v>139.1</v>
          </cell>
          <cell r="H33">
            <v>3.4</v>
          </cell>
          <cell r="I33">
            <v>1134.0999999999999</v>
          </cell>
          <cell r="J33">
            <v>1276.5999999999999</v>
          </cell>
          <cell r="K33">
            <v>19.600000000000001</v>
          </cell>
          <cell r="L33">
            <v>119.4</v>
          </cell>
          <cell r="M33">
            <v>1.5</v>
          </cell>
          <cell r="N33">
            <v>1.9</v>
          </cell>
          <cell r="O33">
            <v>222.2</v>
          </cell>
          <cell r="P33">
            <v>5.4</v>
          </cell>
          <cell r="Q33">
            <v>261.39999999999998</v>
          </cell>
          <cell r="R33">
            <v>645.1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</row>
        <row r="34">
          <cell r="A34">
            <v>43033</v>
          </cell>
          <cell r="B34">
            <v>33</v>
          </cell>
          <cell r="C34">
            <v>92.6</v>
          </cell>
          <cell r="D34">
            <v>236.9</v>
          </cell>
          <cell r="E34">
            <v>2.56</v>
          </cell>
          <cell r="F34">
            <v>1595.4</v>
          </cell>
          <cell r="G34">
            <v>589.4</v>
          </cell>
          <cell r="H34">
            <v>236.4</v>
          </cell>
          <cell r="I34">
            <v>769.7</v>
          </cell>
          <cell r="J34">
            <v>1643.5</v>
          </cell>
          <cell r="K34">
            <v>282.8</v>
          </cell>
          <cell r="L34">
            <v>306.60000000000002</v>
          </cell>
          <cell r="M34">
            <v>166.9</v>
          </cell>
          <cell r="N34">
            <v>69.5</v>
          </cell>
          <cell r="O34">
            <v>365.6</v>
          </cell>
          <cell r="P34">
            <v>65.2</v>
          </cell>
          <cell r="Q34">
            <v>51.2</v>
          </cell>
          <cell r="R34">
            <v>287.60000000000002</v>
          </cell>
          <cell r="S34">
            <v>0</v>
          </cell>
          <cell r="T34">
            <v>0</v>
          </cell>
          <cell r="U34">
            <v>37.1</v>
          </cell>
          <cell r="V34">
            <v>11</v>
          </cell>
          <cell r="W34">
            <v>0</v>
          </cell>
          <cell r="X34">
            <v>0</v>
          </cell>
          <cell r="Y34">
            <v>97</v>
          </cell>
          <cell r="Z34">
            <v>198</v>
          </cell>
        </row>
        <row r="35">
          <cell r="A35">
            <v>43034</v>
          </cell>
          <cell r="B35">
            <v>34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</row>
        <row r="36">
          <cell r="A36">
            <v>43035</v>
          </cell>
          <cell r="B36">
            <v>35</v>
          </cell>
          <cell r="C36">
            <v>158.6</v>
          </cell>
          <cell r="D36">
            <v>271.89999999999998</v>
          </cell>
          <cell r="E36">
            <v>1.71</v>
          </cell>
          <cell r="F36">
            <v>79.8</v>
          </cell>
          <cell r="G36">
            <v>0.9</v>
          </cell>
          <cell r="H36">
            <v>3.1</v>
          </cell>
          <cell r="I36">
            <v>75.7</v>
          </cell>
          <cell r="J36">
            <v>100.4</v>
          </cell>
          <cell r="K36">
            <v>0.4</v>
          </cell>
          <cell r="L36">
            <v>0.5</v>
          </cell>
          <cell r="M36">
            <v>0.1</v>
          </cell>
          <cell r="N36">
            <v>3</v>
          </cell>
          <cell r="O36">
            <v>48</v>
          </cell>
          <cell r="P36">
            <v>0.4</v>
          </cell>
          <cell r="Q36">
            <v>0.6</v>
          </cell>
          <cell r="R36">
            <v>26.7</v>
          </cell>
          <cell r="S36">
            <v>0</v>
          </cell>
          <cell r="T36">
            <v>0</v>
          </cell>
          <cell r="U36">
            <v>1.9</v>
          </cell>
          <cell r="V36">
            <v>18.8</v>
          </cell>
          <cell r="W36">
            <v>0</v>
          </cell>
          <cell r="X36">
            <v>0</v>
          </cell>
          <cell r="Y36">
            <v>272</v>
          </cell>
          <cell r="Z36">
            <v>0</v>
          </cell>
        </row>
        <row r="37">
          <cell r="A37">
            <v>43036</v>
          </cell>
          <cell r="B37">
            <v>36</v>
          </cell>
          <cell r="C37">
            <v>189.7</v>
          </cell>
          <cell r="D37">
            <v>246.9</v>
          </cell>
          <cell r="E37">
            <v>1.3</v>
          </cell>
          <cell r="F37">
            <v>1312.7</v>
          </cell>
          <cell r="G37">
            <v>663</v>
          </cell>
          <cell r="H37">
            <v>12.4</v>
          </cell>
          <cell r="I37">
            <v>637.29999999999995</v>
          </cell>
          <cell r="J37">
            <v>1350</v>
          </cell>
          <cell r="K37">
            <v>428</v>
          </cell>
          <cell r="L37">
            <v>235</v>
          </cell>
          <cell r="M37">
            <v>5.5</v>
          </cell>
          <cell r="N37">
            <v>6.9</v>
          </cell>
          <cell r="O37">
            <v>215</v>
          </cell>
          <cell r="P37">
            <v>19.8</v>
          </cell>
          <cell r="Q37">
            <v>14.3</v>
          </cell>
          <cell r="R37">
            <v>388.2</v>
          </cell>
          <cell r="S37">
            <v>0</v>
          </cell>
          <cell r="T37">
            <v>0</v>
          </cell>
          <cell r="U37">
            <v>14.8</v>
          </cell>
          <cell r="V37">
            <v>22.5</v>
          </cell>
          <cell r="W37">
            <v>0</v>
          </cell>
          <cell r="X37">
            <v>0</v>
          </cell>
          <cell r="Y37">
            <v>217</v>
          </cell>
          <cell r="Z37">
            <v>0</v>
          </cell>
        </row>
        <row r="38">
          <cell r="A38">
            <v>43037</v>
          </cell>
          <cell r="B38">
            <v>37</v>
          </cell>
          <cell r="C38">
            <v>0</v>
          </cell>
          <cell r="D38">
            <v>0</v>
          </cell>
          <cell r="E38">
            <v>0</v>
          </cell>
          <cell r="F38">
            <v>14.3</v>
          </cell>
          <cell r="G38">
            <v>0.1</v>
          </cell>
          <cell r="H38">
            <v>0</v>
          </cell>
          <cell r="I38">
            <v>14.1</v>
          </cell>
          <cell r="J38">
            <v>14.3</v>
          </cell>
          <cell r="K38">
            <v>0.1</v>
          </cell>
          <cell r="L38">
            <v>0.1</v>
          </cell>
          <cell r="M38">
            <v>0</v>
          </cell>
          <cell r="N38">
            <v>0</v>
          </cell>
          <cell r="O38">
            <v>0.1</v>
          </cell>
          <cell r="P38">
            <v>0.1</v>
          </cell>
          <cell r="Q38">
            <v>13.7</v>
          </cell>
          <cell r="R38">
            <v>0.2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</row>
        <row r="39">
          <cell r="A39">
            <v>43038</v>
          </cell>
          <cell r="B39">
            <v>38</v>
          </cell>
          <cell r="C39">
            <v>8.8000000000000007</v>
          </cell>
          <cell r="D39">
            <v>23.9</v>
          </cell>
          <cell r="E39">
            <v>2.72</v>
          </cell>
          <cell r="F39">
            <v>3.7</v>
          </cell>
          <cell r="G39">
            <v>0</v>
          </cell>
          <cell r="H39">
            <v>0</v>
          </cell>
          <cell r="I39">
            <v>3.7</v>
          </cell>
          <cell r="J39">
            <v>4.7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3.6</v>
          </cell>
          <cell r="S39">
            <v>0</v>
          </cell>
          <cell r="T39">
            <v>0</v>
          </cell>
          <cell r="U39">
            <v>0</v>
          </cell>
          <cell r="V39">
            <v>1</v>
          </cell>
          <cell r="W39">
            <v>4</v>
          </cell>
          <cell r="X39">
            <v>0</v>
          </cell>
          <cell r="Y39">
            <v>0</v>
          </cell>
          <cell r="Z39">
            <v>0</v>
          </cell>
        </row>
        <row r="40">
          <cell r="A40">
            <v>43039</v>
          </cell>
          <cell r="B40">
            <v>39</v>
          </cell>
          <cell r="C40">
            <v>0</v>
          </cell>
          <cell r="D40">
            <v>0</v>
          </cell>
          <cell r="E40">
            <v>0</v>
          </cell>
          <cell r="F40">
            <v>588.70000000000005</v>
          </cell>
          <cell r="G40">
            <v>29.8</v>
          </cell>
          <cell r="H40">
            <v>8</v>
          </cell>
          <cell r="I40">
            <v>551</v>
          </cell>
          <cell r="J40">
            <v>590.6</v>
          </cell>
          <cell r="K40">
            <v>13.2</v>
          </cell>
          <cell r="L40">
            <v>16.600000000000001</v>
          </cell>
          <cell r="M40">
            <v>3.6</v>
          </cell>
          <cell r="N40">
            <v>4.4000000000000004</v>
          </cell>
          <cell r="O40">
            <v>24.1</v>
          </cell>
          <cell r="P40">
            <v>109.8</v>
          </cell>
          <cell r="Q40">
            <v>7.5</v>
          </cell>
          <cell r="R40">
            <v>409.6</v>
          </cell>
          <cell r="S40">
            <v>0</v>
          </cell>
          <cell r="T40">
            <v>0</v>
          </cell>
          <cell r="U40">
            <v>1.9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</row>
        <row r="41">
          <cell r="A41">
            <v>43040</v>
          </cell>
          <cell r="B41">
            <v>40</v>
          </cell>
          <cell r="C41">
            <v>267.2</v>
          </cell>
          <cell r="D41">
            <v>624.29999999999995</v>
          </cell>
          <cell r="E41">
            <v>2.34</v>
          </cell>
          <cell r="F41">
            <v>438.4</v>
          </cell>
          <cell r="G41">
            <v>46.2</v>
          </cell>
          <cell r="H41">
            <v>5</v>
          </cell>
          <cell r="I41">
            <v>387.2</v>
          </cell>
          <cell r="J41">
            <v>518.29999999999995</v>
          </cell>
          <cell r="K41">
            <v>26.7</v>
          </cell>
          <cell r="L41">
            <v>19.5</v>
          </cell>
          <cell r="M41">
            <v>0.7</v>
          </cell>
          <cell r="N41">
            <v>4.3</v>
          </cell>
          <cell r="O41">
            <v>80.8</v>
          </cell>
          <cell r="P41">
            <v>2.5</v>
          </cell>
          <cell r="Q41">
            <v>72</v>
          </cell>
          <cell r="R41">
            <v>231.8</v>
          </cell>
          <cell r="S41">
            <v>0</v>
          </cell>
          <cell r="T41">
            <v>0</v>
          </cell>
          <cell r="U41">
            <v>48.2</v>
          </cell>
          <cell r="V41">
            <v>31.7</v>
          </cell>
          <cell r="W41">
            <v>109</v>
          </cell>
          <cell r="X41">
            <v>0</v>
          </cell>
          <cell r="Y41">
            <v>123</v>
          </cell>
          <cell r="Z41">
            <v>0</v>
          </cell>
        </row>
        <row r="42">
          <cell r="A42">
            <v>43041</v>
          </cell>
          <cell r="B42">
            <v>41</v>
          </cell>
          <cell r="C42">
            <v>581.20000000000005</v>
          </cell>
          <cell r="D42">
            <v>1383.8</v>
          </cell>
          <cell r="E42">
            <v>2.38</v>
          </cell>
          <cell r="F42">
            <v>1033.3</v>
          </cell>
          <cell r="G42">
            <v>27.9</v>
          </cell>
          <cell r="H42">
            <v>84.7</v>
          </cell>
          <cell r="I42">
            <v>920.7</v>
          </cell>
          <cell r="J42">
            <v>1143</v>
          </cell>
          <cell r="K42">
            <v>22.3</v>
          </cell>
          <cell r="L42">
            <v>5.5</v>
          </cell>
          <cell r="M42">
            <v>1.2</v>
          </cell>
          <cell r="N42">
            <v>83.5</v>
          </cell>
          <cell r="O42">
            <v>214.1</v>
          </cell>
          <cell r="P42">
            <v>315.39999999999998</v>
          </cell>
          <cell r="Q42">
            <v>30.8</v>
          </cell>
          <cell r="R42">
            <v>360.5</v>
          </cell>
          <cell r="S42">
            <v>0</v>
          </cell>
          <cell r="T42">
            <v>0</v>
          </cell>
          <cell r="U42">
            <v>40.799999999999997</v>
          </cell>
          <cell r="V42">
            <v>68.900000000000006</v>
          </cell>
          <cell r="W42">
            <v>100</v>
          </cell>
          <cell r="X42">
            <v>0</v>
          </cell>
          <cell r="Y42">
            <v>0</v>
          </cell>
          <cell r="Z42">
            <v>0</v>
          </cell>
        </row>
        <row r="43">
          <cell r="A43">
            <v>43042</v>
          </cell>
          <cell r="B43">
            <v>42</v>
          </cell>
          <cell r="C43">
            <v>108.4</v>
          </cell>
          <cell r="D43">
            <v>290.7</v>
          </cell>
          <cell r="E43">
            <v>2.68</v>
          </cell>
          <cell r="F43">
            <v>21.6</v>
          </cell>
          <cell r="G43">
            <v>1.8</v>
          </cell>
          <cell r="H43">
            <v>1.8</v>
          </cell>
          <cell r="I43">
            <v>18</v>
          </cell>
          <cell r="J43">
            <v>34.4</v>
          </cell>
          <cell r="K43">
            <v>1.6</v>
          </cell>
          <cell r="L43">
            <v>0.1</v>
          </cell>
          <cell r="M43">
            <v>0</v>
          </cell>
          <cell r="N43">
            <v>1.7</v>
          </cell>
          <cell r="O43">
            <v>6.8</v>
          </cell>
          <cell r="P43">
            <v>1.2</v>
          </cell>
          <cell r="Q43">
            <v>0.1</v>
          </cell>
          <cell r="R43">
            <v>10</v>
          </cell>
          <cell r="S43">
            <v>0</v>
          </cell>
          <cell r="T43">
            <v>0</v>
          </cell>
          <cell r="U43">
            <v>0</v>
          </cell>
          <cell r="V43">
            <v>12.8</v>
          </cell>
          <cell r="W43">
            <v>17</v>
          </cell>
          <cell r="X43">
            <v>0</v>
          </cell>
          <cell r="Y43">
            <v>0</v>
          </cell>
          <cell r="Z43">
            <v>0</v>
          </cell>
        </row>
        <row r="44">
          <cell r="A44">
            <v>43043</v>
          </cell>
          <cell r="B44">
            <v>43</v>
          </cell>
          <cell r="C44">
            <v>14.7</v>
          </cell>
          <cell r="D44">
            <v>37.200000000000003</v>
          </cell>
          <cell r="E44">
            <v>2.54</v>
          </cell>
          <cell r="F44">
            <v>3.7</v>
          </cell>
          <cell r="G44">
            <v>0.1</v>
          </cell>
          <cell r="H44">
            <v>0</v>
          </cell>
          <cell r="I44">
            <v>3.6</v>
          </cell>
          <cell r="J44">
            <v>5.4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3.5</v>
          </cell>
          <cell r="P44">
            <v>0</v>
          </cell>
          <cell r="Q44">
            <v>0</v>
          </cell>
          <cell r="R44">
            <v>0.1</v>
          </cell>
          <cell r="S44">
            <v>0</v>
          </cell>
          <cell r="T44">
            <v>0</v>
          </cell>
          <cell r="U44">
            <v>0</v>
          </cell>
          <cell r="V44">
            <v>1.7</v>
          </cell>
          <cell r="W44">
            <v>6</v>
          </cell>
          <cell r="X44">
            <v>0</v>
          </cell>
          <cell r="Y44">
            <v>0</v>
          </cell>
          <cell r="Z44">
            <v>0</v>
          </cell>
        </row>
        <row r="45">
          <cell r="A45">
            <v>43044</v>
          </cell>
          <cell r="B45">
            <v>44</v>
          </cell>
          <cell r="C45">
            <v>175.6</v>
          </cell>
          <cell r="D45">
            <v>499.4</v>
          </cell>
          <cell r="E45">
            <v>2.84</v>
          </cell>
          <cell r="F45">
            <v>9.1999999999999993</v>
          </cell>
          <cell r="G45">
            <v>0.1</v>
          </cell>
          <cell r="H45">
            <v>1.8</v>
          </cell>
          <cell r="I45">
            <v>7.3</v>
          </cell>
          <cell r="J45">
            <v>46.7</v>
          </cell>
          <cell r="K45">
            <v>0</v>
          </cell>
          <cell r="L45">
            <v>0</v>
          </cell>
          <cell r="M45">
            <v>0</v>
          </cell>
          <cell r="N45">
            <v>1.8</v>
          </cell>
          <cell r="O45">
            <v>2.2000000000000002</v>
          </cell>
          <cell r="P45">
            <v>0</v>
          </cell>
          <cell r="Q45">
            <v>0</v>
          </cell>
          <cell r="R45">
            <v>5</v>
          </cell>
          <cell r="S45">
            <v>0</v>
          </cell>
          <cell r="T45">
            <v>0</v>
          </cell>
          <cell r="U45">
            <v>16.7</v>
          </cell>
          <cell r="V45">
            <v>20.8</v>
          </cell>
          <cell r="W45">
            <v>15</v>
          </cell>
          <cell r="X45">
            <v>0</v>
          </cell>
          <cell r="Y45">
            <v>0</v>
          </cell>
          <cell r="Z45">
            <v>0</v>
          </cell>
        </row>
        <row r="46">
          <cell r="A46">
            <v>43045</v>
          </cell>
          <cell r="B46">
            <v>45</v>
          </cell>
          <cell r="C46">
            <v>59.3</v>
          </cell>
          <cell r="D46">
            <v>199.4</v>
          </cell>
          <cell r="E46">
            <v>3.36</v>
          </cell>
          <cell r="F46">
            <v>11.4</v>
          </cell>
          <cell r="G46">
            <v>4.8</v>
          </cell>
          <cell r="H46">
            <v>0.1</v>
          </cell>
          <cell r="I46">
            <v>6.5</v>
          </cell>
          <cell r="J46">
            <v>18.399999999999999</v>
          </cell>
          <cell r="K46">
            <v>4.5999999999999996</v>
          </cell>
          <cell r="L46">
            <v>0.1</v>
          </cell>
          <cell r="M46">
            <v>0</v>
          </cell>
          <cell r="N46">
            <v>0</v>
          </cell>
          <cell r="O46">
            <v>0.2</v>
          </cell>
          <cell r="P46">
            <v>0.1</v>
          </cell>
          <cell r="Q46">
            <v>1.1000000000000001</v>
          </cell>
          <cell r="R46">
            <v>5.2</v>
          </cell>
          <cell r="S46">
            <v>0</v>
          </cell>
          <cell r="T46">
            <v>0</v>
          </cell>
          <cell r="U46">
            <v>0</v>
          </cell>
          <cell r="V46">
            <v>7</v>
          </cell>
          <cell r="W46">
            <v>10</v>
          </cell>
          <cell r="X46">
            <v>0</v>
          </cell>
          <cell r="Y46">
            <v>0</v>
          </cell>
          <cell r="Z46">
            <v>0</v>
          </cell>
        </row>
        <row r="47">
          <cell r="A47">
            <v>43046</v>
          </cell>
          <cell r="B47">
            <v>46</v>
          </cell>
          <cell r="C47">
            <v>8.1</v>
          </cell>
          <cell r="D47">
            <v>16</v>
          </cell>
          <cell r="E47">
            <v>1.97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1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</v>
          </cell>
          <cell r="W47">
            <v>5</v>
          </cell>
          <cell r="X47">
            <v>0</v>
          </cell>
          <cell r="Y47">
            <v>0</v>
          </cell>
          <cell r="Z47">
            <v>0</v>
          </cell>
        </row>
        <row r="48">
          <cell r="A48">
            <v>43047</v>
          </cell>
          <cell r="B48">
            <v>47</v>
          </cell>
          <cell r="C48">
            <v>24.4</v>
          </cell>
          <cell r="D48">
            <v>68.7</v>
          </cell>
          <cell r="E48">
            <v>2.81</v>
          </cell>
          <cell r="F48">
            <v>6.1</v>
          </cell>
          <cell r="G48">
            <v>0.7</v>
          </cell>
          <cell r="H48">
            <v>0</v>
          </cell>
          <cell r="I48">
            <v>5.4</v>
          </cell>
          <cell r="J48">
            <v>9</v>
          </cell>
          <cell r="K48">
            <v>0.7</v>
          </cell>
          <cell r="L48">
            <v>0</v>
          </cell>
          <cell r="M48">
            <v>0</v>
          </cell>
          <cell r="N48">
            <v>0</v>
          </cell>
          <cell r="O48">
            <v>5.3</v>
          </cell>
          <cell r="P48">
            <v>0</v>
          </cell>
          <cell r="Q48">
            <v>0</v>
          </cell>
          <cell r="R48">
            <v>0.1</v>
          </cell>
          <cell r="S48">
            <v>0</v>
          </cell>
          <cell r="T48">
            <v>0</v>
          </cell>
          <cell r="U48">
            <v>0</v>
          </cell>
          <cell r="V48">
            <v>2.9</v>
          </cell>
          <cell r="W48">
            <v>7</v>
          </cell>
          <cell r="X48">
            <v>0</v>
          </cell>
          <cell r="Y48">
            <v>0</v>
          </cell>
          <cell r="Z48">
            <v>0</v>
          </cell>
        </row>
        <row r="49">
          <cell r="A49">
            <v>43048</v>
          </cell>
          <cell r="B49">
            <v>48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</row>
        <row r="50">
          <cell r="A50">
            <v>43049</v>
          </cell>
          <cell r="B50">
            <v>49</v>
          </cell>
          <cell r="C50">
            <v>99.5</v>
          </cell>
          <cell r="D50">
            <v>163.80000000000001</v>
          </cell>
          <cell r="E50">
            <v>1.65</v>
          </cell>
          <cell r="F50">
            <v>575.1</v>
          </cell>
          <cell r="G50">
            <v>290.7</v>
          </cell>
          <cell r="H50">
            <v>5.3</v>
          </cell>
          <cell r="I50">
            <v>279.10000000000002</v>
          </cell>
          <cell r="J50">
            <v>592.5</v>
          </cell>
          <cell r="K50">
            <v>7.8</v>
          </cell>
          <cell r="L50">
            <v>283</v>
          </cell>
          <cell r="M50">
            <v>2.2999999999999998</v>
          </cell>
          <cell r="N50">
            <v>3</v>
          </cell>
          <cell r="O50">
            <v>15.8</v>
          </cell>
          <cell r="P50">
            <v>8.1</v>
          </cell>
          <cell r="Q50">
            <v>4.8</v>
          </cell>
          <cell r="R50">
            <v>250.3</v>
          </cell>
          <cell r="S50">
            <v>0</v>
          </cell>
          <cell r="T50">
            <v>0</v>
          </cell>
          <cell r="U50">
            <v>5.6</v>
          </cell>
          <cell r="V50">
            <v>11.8</v>
          </cell>
          <cell r="W50">
            <v>0</v>
          </cell>
          <cell r="X50">
            <v>0</v>
          </cell>
          <cell r="Y50">
            <v>156</v>
          </cell>
          <cell r="Z50">
            <v>588</v>
          </cell>
        </row>
        <row r="51">
          <cell r="A51">
            <v>43050</v>
          </cell>
          <cell r="B51">
            <v>50</v>
          </cell>
          <cell r="C51">
            <v>23.2</v>
          </cell>
          <cell r="D51">
            <v>100.1</v>
          </cell>
          <cell r="E51">
            <v>4.32</v>
          </cell>
          <cell r="F51">
            <v>80.8</v>
          </cell>
          <cell r="G51">
            <v>78.099999999999994</v>
          </cell>
          <cell r="H51">
            <v>0.2</v>
          </cell>
          <cell r="I51">
            <v>2.4</v>
          </cell>
          <cell r="J51">
            <v>90.9</v>
          </cell>
          <cell r="K51">
            <v>77.7</v>
          </cell>
          <cell r="L51">
            <v>0.4</v>
          </cell>
          <cell r="M51">
            <v>0.1</v>
          </cell>
          <cell r="N51">
            <v>0.1</v>
          </cell>
          <cell r="O51">
            <v>0.6</v>
          </cell>
          <cell r="P51">
            <v>0.3</v>
          </cell>
          <cell r="Q51">
            <v>0.2</v>
          </cell>
          <cell r="R51">
            <v>1.2</v>
          </cell>
          <cell r="S51">
            <v>0</v>
          </cell>
          <cell r="T51">
            <v>0</v>
          </cell>
          <cell r="U51">
            <v>7.4</v>
          </cell>
          <cell r="V51">
            <v>2.7</v>
          </cell>
          <cell r="W51">
            <v>6</v>
          </cell>
          <cell r="X51">
            <v>0</v>
          </cell>
          <cell r="Y51">
            <v>0</v>
          </cell>
          <cell r="Z51">
            <v>0</v>
          </cell>
        </row>
        <row r="52">
          <cell r="A52">
            <v>43051</v>
          </cell>
          <cell r="B52">
            <v>51</v>
          </cell>
          <cell r="C52">
            <v>22.5</v>
          </cell>
          <cell r="D52">
            <v>53.5</v>
          </cell>
          <cell r="E52">
            <v>2.38</v>
          </cell>
          <cell r="F52">
            <v>3.5</v>
          </cell>
          <cell r="G52">
            <v>0</v>
          </cell>
          <cell r="H52">
            <v>0</v>
          </cell>
          <cell r="I52">
            <v>3.5</v>
          </cell>
          <cell r="J52">
            <v>11.8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3.4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5.6</v>
          </cell>
          <cell r="V52">
            <v>2.7</v>
          </cell>
          <cell r="W52">
            <v>4</v>
          </cell>
          <cell r="X52">
            <v>0</v>
          </cell>
          <cell r="Y52">
            <v>0</v>
          </cell>
          <cell r="Z52">
            <v>0</v>
          </cell>
        </row>
        <row r="53">
          <cell r="A53">
            <v>43052</v>
          </cell>
          <cell r="B53">
            <v>52</v>
          </cell>
          <cell r="C53">
            <v>30</v>
          </cell>
          <cell r="D53">
            <v>78.099999999999994</v>
          </cell>
          <cell r="E53">
            <v>2.61</v>
          </cell>
          <cell r="F53">
            <v>1.9</v>
          </cell>
          <cell r="G53">
            <v>0</v>
          </cell>
          <cell r="H53">
            <v>0</v>
          </cell>
          <cell r="I53">
            <v>1.8</v>
          </cell>
          <cell r="J53">
            <v>5.4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1.8</v>
          </cell>
          <cell r="S53">
            <v>0</v>
          </cell>
          <cell r="T53">
            <v>0</v>
          </cell>
          <cell r="U53">
            <v>0</v>
          </cell>
          <cell r="V53">
            <v>3.5</v>
          </cell>
          <cell r="W53">
            <v>9</v>
          </cell>
          <cell r="X53">
            <v>0</v>
          </cell>
          <cell r="Y53">
            <v>0</v>
          </cell>
          <cell r="Z53">
            <v>0</v>
          </cell>
        </row>
        <row r="54">
          <cell r="A54">
            <v>43053</v>
          </cell>
          <cell r="B54">
            <v>53</v>
          </cell>
          <cell r="C54">
            <v>4.0999999999999996</v>
          </cell>
          <cell r="D54">
            <v>9.1999999999999993</v>
          </cell>
          <cell r="E54">
            <v>2.21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4.2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3.7</v>
          </cell>
          <cell r="V54">
            <v>0.5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</row>
        <row r="55">
          <cell r="A55">
            <v>43054</v>
          </cell>
          <cell r="B55">
            <v>54</v>
          </cell>
          <cell r="C55">
            <v>14.3</v>
          </cell>
          <cell r="D55">
            <v>33</v>
          </cell>
          <cell r="E55">
            <v>2.2999999999999998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3.6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1.9</v>
          </cell>
          <cell r="V55">
            <v>1.7</v>
          </cell>
          <cell r="W55">
            <v>5</v>
          </cell>
          <cell r="X55">
            <v>0</v>
          </cell>
          <cell r="Y55">
            <v>0</v>
          </cell>
          <cell r="Z55">
            <v>0</v>
          </cell>
        </row>
        <row r="56">
          <cell r="A56">
            <v>43055</v>
          </cell>
          <cell r="B56">
            <v>55</v>
          </cell>
          <cell r="C56">
            <v>62.1</v>
          </cell>
          <cell r="D56">
            <v>74.400000000000006</v>
          </cell>
          <cell r="E56">
            <v>1.2</v>
          </cell>
          <cell r="F56">
            <v>3106.3</v>
          </cell>
          <cell r="G56">
            <v>1183.5</v>
          </cell>
          <cell r="H56">
            <v>122</v>
          </cell>
          <cell r="I56">
            <v>1800.8</v>
          </cell>
          <cell r="J56">
            <v>3123</v>
          </cell>
          <cell r="K56">
            <v>582.5</v>
          </cell>
          <cell r="L56">
            <v>600.9</v>
          </cell>
          <cell r="M56">
            <v>53.7</v>
          </cell>
          <cell r="N56">
            <v>68.3</v>
          </cell>
          <cell r="O56">
            <v>354.6</v>
          </cell>
          <cell r="P56">
            <v>193.6</v>
          </cell>
          <cell r="Q56">
            <v>111.2</v>
          </cell>
          <cell r="R56">
            <v>1141.3</v>
          </cell>
          <cell r="S56">
            <v>0</v>
          </cell>
          <cell r="T56">
            <v>0</v>
          </cell>
          <cell r="U56">
            <v>9.3000000000000007</v>
          </cell>
          <cell r="V56">
            <v>7.4</v>
          </cell>
          <cell r="W56">
            <v>29</v>
          </cell>
          <cell r="X56">
            <v>0</v>
          </cell>
          <cell r="Y56">
            <v>91</v>
          </cell>
          <cell r="Z56">
            <v>1180</v>
          </cell>
        </row>
        <row r="57">
          <cell r="A57">
            <v>43056</v>
          </cell>
          <cell r="B57">
            <v>56</v>
          </cell>
          <cell r="C57">
            <v>39</v>
          </cell>
          <cell r="D57">
            <v>58.4</v>
          </cell>
          <cell r="E57">
            <v>1.5</v>
          </cell>
          <cell r="F57">
            <v>1.9</v>
          </cell>
          <cell r="G57">
            <v>0</v>
          </cell>
          <cell r="H57">
            <v>0</v>
          </cell>
          <cell r="I57">
            <v>1.8</v>
          </cell>
          <cell r="J57">
            <v>15.7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1.8</v>
          </cell>
          <cell r="S57">
            <v>0</v>
          </cell>
          <cell r="T57">
            <v>0</v>
          </cell>
          <cell r="U57">
            <v>9.3000000000000007</v>
          </cell>
          <cell r="V57">
            <v>4.5999999999999996</v>
          </cell>
          <cell r="W57">
            <v>1</v>
          </cell>
          <cell r="X57">
            <v>0</v>
          </cell>
          <cell r="Y57">
            <v>61</v>
          </cell>
          <cell r="Z57">
            <v>0</v>
          </cell>
        </row>
        <row r="58">
          <cell r="A58">
            <v>43057</v>
          </cell>
          <cell r="B58">
            <v>57</v>
          </cell>
          <cell r="C58">
            <v>22.2</v>
          </cell>
          <cell r="D58">
            <v>114.6</v>
          </cell>
          <cell r="E58">
            <v>5.17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10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7.4</v>
          </cell>
          <cell r="V58">
            <v>2.6</v>
          </cell>
          <cell r="W58">
            <v>0</v>
          </cell>
          <cell r="X58">
            <v>0</v>
          </cell>
          <cell r="Y58">
            <v>33</v>
          </cell>
          <cell r="Z58">
            <v>0</v>
          </cell>
        </row>
        <row r="59">
          <cell r="A59">
            <v>43058</v>
          </cell>
          <cell r="B59">
            <v>58</v>
          </cell>
          <cell r="C59">
            <v>69.400000000000006</v>
          </cell>
          <cell r="D59">
            <v>145.4</v>
          </cell>
          <cell r="E59">
            <v>2.1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28.6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20.399999999999999</v>
          </cell>
          <cell r="V59">
            <v>8.1999999999999993</v>
          </cell>
          <cell r="W59">
            <v>0</v>
          </cell>
          <cell r="X59">
            <v>0</v>
          </cell>
          <cell r="Y59">
            <v>158</v>
          </cell>
          <cell r="Z59">
            <v>0</v>
          </cell>
        </row>
        <row r="60">
          <cell r="A60">
            <v>43059</v>
          </cell>
          <cell r="B60">
            <v>59</v>
          </cell>
          <cell r="C60">
            <v>199.5</v>
          </cell>
          <cell r="D60">
            <v>443.4</v>
          </cell>
          <cell r="E60">
            <v>2.2200000000000002</v>
          </cell>
          <cell r="F60">
            <v>554.6</v>
          </cell>
          <cell r="G60">
            <v>125.1</v>
          </cell>
          <cell r="H60">
            <v>33.5</v>
          </cell>
          <cell r="I60">
            <v>396</v>
          </cell>
          <cell r="J60">
            <v>617.1</v>
          </cell>
          <cell r="K60">
            <v>56.1</v>
          </cell>
          <cell r="L60">
            <v>69</v>
          </cell>
          <cell r="M60">
            <v>15</v>
          </cell>
          <cell r="N60">
            <v>18.5</v>
          </cell>
          <cell r="O60">
            <v>109.1</v>
          </cell>
          <cell r="P60">
            <v>54.2</v>
          </cell>
          <cell r="Q60">
            <v>33.5</v>
          </cell>
          <cell r="R60">
            <v>199.3</v>
          </cell>
          <cell r="S60">
            <v>0</v>
          </cell>
          <cell r="T60">
            <v>0</v>
          </cell>
          <cell r="U60">
            <v>38.9</v>
          </cell>
          <cell r="V60">
            <v>23.6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</row>
        <row r="61">
          <cell r="A61">
            <v>43060</v>
          </cell>
          <cell r="B61">
            <v>60</v>
          </cell>
          <cell r="C61">
            <v>97.2</v>
          </cell>
          <cell r="D61">
            <v>236.7</v>
          </cell>
          <cell r="E61">
            <v>2.4300000000000002</v>
          </cell>
          <cell r="F61">
            <v>31.1</v>
          </cell>
          <cell r="G61">
            <v>0.4</v>
          </cell>
          <cell r="H61">
            <v>1.1000000000000001</v>
          </cell>
          <cell r="I61">
            <v>29.6</v>
          </cell>
          <cell r="J61">
            <v>61.1</v>
          </cell>
          <cell r="K61">
            <v>0.2</v>
          </cell>
          <cell r="L61">
            <v>0.2</v>
          </cell>
          <cell r="M61">
            <v>1.1000000000000001</v>
          </cell>
          <cell r="N61">
            <v>0.1</v>
          </cell>
          <cell r="O61">
            <v>0.3</v>
          </cell>
          <cell r="P61">
            <v>0.2</v>
          </cell>
          <cell r="Q61">
            <v>0.1</v>
          </cell>
          <cell r="R61">
            <v>29.1</v>
          </cell>
          <cell r="S61">
            <v>0</v>
          </cell>
          <cell r="T61">
            <v>0</v>
          </cell>
          <cell r="U61">
            <v>18.5</v>
          </cell>
          <cell r="V61">
            <v>11.5</v>
          </cell>
          <cell r="W61">
            <v>8</v>
          </cell>
          <cell r="X61">
            <v>0</v>
          </cell>
          <cell r="Y61">
            <v>35</v>
          </cell>
          <cell r="Z61">
            <v>0</v>
          </cell>
        </row>
        <row r="62">
          <cell r="A62">
            <v>43061</v>
          </cell>
          <cell r="B62">
            <v>61</v>
          </cell>
          <cell r="C62">
            <v>16.8</v>
          </cell>
          <cell r="D62">
            <v>38.1</v>
          </cell>
          <cell r="E62">
            <v>2.27</v>
          </cell>
          <cell r="F62">
            <v>50</v>
          </cell>
          <cell r="G62">
            <v>11.3</v>
          </cell>
          <cell r="H62">
            <v>3.1</v>
          </cell>
          <cell r="I62">
            <v>35.6</v>
          </cell>
          <cell r="J62">
            <v>59.4</v>
          </cell>
          <cell r="K62">
            <v>4.5999999999999996</v>
          </cell>
          <cell r="L62">
            <v>6.7</v>
          </cell>
          <cell r="M62">
            <v>1.4</v>
          </cell>
          <cell r="N62">
            <v>1.7</v>
          </cell>
          <cell r="O62">
            <v>9.4</v>
          </cell>
          <cell r="P62">
            <v>4.8</v>
          </cell>
          <cell r="Q62">
            <v>2.9</v>
          </cell>
          <cell r="R62">
            <v>18.5</v>
          </cell>
          <cell r="S62">
            <v>0</v>
          </cell>
          <cell r="T62">
            <v>0</v>
          </cell>
          <cell r="U62">
            <v>7.4</v>
          </cell>
          <cell r="V62">
            <v>2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</row>
        <row r="63">
          <cell r="A63">
            <v>43062</v>
          </cell>
          <cell r="B63">
            <v>62</v>
          </cell>
          <cell r="C63">
            <v>19.3</v>
          </cell>
          <cell r="D63">
            <v>23.2</v>
          </cell>
          <cell r="E63">
            <v>1.2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9.6999999999999993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7.4</v>
          </cell>
          <cell r="V63">
            <v>2.2999999999999998</v>
          </cell>
          <cell r="W63">
            <v>4</v>
          </cell>
          <cell r="X63">
            <v>0</v>
          </cell>
          <cell r="Y63">
            <v>0</v>
          </cell>
          <cell r="Z63">
            <v>0</v>
          </cell>
        </row>
        <row r="64">
          <cell r="A64">
            <v>43063</v>
          </cell>
          <cell r="B64">
            <v>63</v>
          </cell>
          <cell r="C64">
            <v>16.8</v>
          </cell>
          <cell r="D64">
            <v>26.5</v>
          </cell>
          <cell r="E64">
            <v>1.58</v>
          </cell>
          <cell r="F64">
            <v>29.6</v>
          </cell>
          <cell r="G64">
            <v>1.5</v>
          </cell>
          <cell r="H64">
            <v>0.4</v>
          </cell>
          <cell r="I64">
            <v>27.8</v>
          </cell>
          <cell r="J64">
            <v>40.9</v>
          </cell>
          <cell r="K64">
            <v>0.7</v>
          </cell>
          <cell r="L64">
            <v>0.8</v>
          </cell>
          <cell r="M64">
            <v>0.2</v>
          </cell>
          <cell r="N64">
            <v>0.2</v>
          </cell>
          <cell r="O64">
            <v>3.1</v>
          </cell>
          <cell r="P64">
            <v>0.6</v>
          </cell>
          <cell r="Q64">
            <v>0.4</v>
          </cell>
          <cell r="R64">
            <v>23.6</v>
          </cell>
          <cell r="S64">
            <v>0</v>
          </cell>
          <cell r="T64">
            <v>0</v>
          </cell>
          <cell r="U64">
            <v>9.3000000000000007</v>
          </cell>
          <cell r="V64">
            <v>2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</row>
        <row r="65">
          <cell r="A65">
            <v>43064</v>
          </cell>
          <cell r="B65">
            <v>64</v>
          </cell>
          <cell r="C65">
            <v>80.5</v>
          </cell>
          <cell r="D65">
            <v>188.1</v>
          </cell>
          <cell r="E65">
            <v>2.34</v>
          </cell>
          <cell r="F65">
            <v>131.9</v>
          </cell>
          <cell r="G65">
            <v>9</v>
          </cell>
          <cell r="H65">
            <v>6.6</v>
          </cell>
          <cell r="I65">
            <v>116.3</v>
          </cell>
          <cell r="J65">
            <v>146.9</v>
          </cell>
          <cell r="K65">
            <v>4.0999999999999996</v>
          </cell>
          <cell r="L65">
            <v>4.9000000000000004</v>
          </cell>
          <cell r="M65">
            <v>5.3</v>
          </cell>
          <cell r="N65">
            <v>1.3</v>
          </cell>
          <cell r="O65">
            <v>7.6</v>
          </cell>
          <cell r="P65">
            <v>3.9</v>
          </cell>
          <cell r="Q65">
            <v>2.2999999999999998</v>
          </cell>
          <cell r="R65">
            <v>102.5</v>
          </cell>
          <cell r="S65">
            <v>0</v>
          </cell>
          <cell r="T65">
            <v>0</v>
          </cell>
          <cell r="U65">
            <v>5.6</v>
          </cell>
          <cell r="V65">
            <v>9.5</v>
          </cell>
          <cell r="W65">
            <v>188</v>
          </cell>
          <cell r="X65">
            <v>0</v>
          </cell>
          <cell r="Y65">
            <v>51</v>
          </cell>
          <cell r="Z65">
            <v>1191</v>
          </cell>
        </row>
        <row r="66">
          <cell r="A66">
            <v>43065</v>
          </cell>
          <cell r="B66">
            <v>65</v>
          </cell>
          <cell r="C66">
            <v>143.80000000000001</v>
          </cell>
          <cell r="D66">
            <v>282.10000000000002</v>
          </cell>
          <cell r="E66">
            <v>1.96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24.4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7.4</v>
          </cell>
          <cell r="V66">
            <v>17</v>
          </cell>
          <cell r="W66">
            <v>47</v>
          </cell>
          <cell r="X66">
            <v>0</v>
          </cell>
          <cell r="Y66">
            <v>0</v>
          </cell>
          <cell r="Z66">
            <v>0</v>
          </cell>
        </row>
        <row r="67">
          <cell r="A67">
            <v>43066</v>
          </cell>
          <cell r="B67">
            <v>66</v>
          </cell>
          <cell r="C67">
            <v>82</v>
          </cell>
          <cell r="D67">
            <v>204.3</v>
          </cell>
          <cell r="E67">
            <v>2.4900000000000002</v>
          </cell>
          <cell r="F67">
            <v>75.7</v>
          </cell>
          <cell r="G67">
            <v>2</v>
          </cell>
          <cell r="H67">
            <v>0.5</v>
          </cell>
          <cell r="I67">
            <v>73.2</v>
          </cell>
          <cell r="J67">
            <v>85.4</v>
          </cell>
          <cell r="K67">
            <v>0.8</v>
          </cell>
          <cell r="L67">
            <v>1.1000000000000001</v>
          </cell>
          <cell r="M67">
            <v>0.2</v>
          </cell>
          <cell r="N67">
            <v>0.3</v>
          </cell>
          <cell r="O67">
            <v>41.1</v>
          </cell>
          <cell r="P67">
            <v>0.8</v>
          </cell>
          <cell r="Q67">
            <v>0.5</v>
          </cell>
          <cell r="R67">
            <v>30.8</v>
          </cell>
          <cell r="S67">
            <v>0</v>
          </cell>
          <cell r="T67">
            <v>0</v>
          </cell>
          <cell r="U67">
            <v>0</v>
          </cell>
          <cell r="V67">
            <v>9.6999999999999993</v>
          </cell>
          <cell r="W67">
            <v>31</v>
          </cell>
          <cell r="X67">
            <v>0</v>
          </cell>
          <cell r="Y67">
            <v>0</v>
          </cell>
          <cell r="Z67">
            <v>0</v>
          </cell>
        </row>
        <row r="68">
          <cell r="A68">
            <v>43067</v>
          </cell>
          <cell r="B68">
            <v>67</v>
          </cell>
          <cell r="C68">
            <v>180.7</v>
          </cell>
          <cell r="D68">
            <v>403.4</v>
          </cell>
          <cell r="E68">
            <v>2.23</v>
          </cell>
          <cell r="F68">
            <v>21.2</v>
          </cell>
          <cell r="G68">
            <v>0.8</v>
          </cell>
          <cell r="H68">
            <v>3.5</v>
          </cell>
          <cell r="I68">
            <v>16.899999999999999</v>
          </cell>
          <cell r="J68">
            <v>46.3</v>
          </cell>
          <cell r="K68">
            <v>0.3</v>
          </cell>
          <cell r="L68">
            <v>0.4</v>
          </cell>
          <cell r="M68">
            <v>0.1</v>
          </cell>
          <cell r="N68">
            <v>3.4</v>
          </cell>
          <cell r="O68">
            <v>9.1999999999999993</v>
          </cell>
          <cell r="P68">
            <v>0.3</v>
          </cell>
          <cell r="Q68">
            <v>0.2</v>
          </cell>
          <cell r="R68">
            <v>7.1</v>
          </cell>
          <cell r="S68">
            <v>0</v>
          </cell>
          <cell r="T68">
            <v>0</v>
          </cell>
          <cell r="U68">
            <v>3.7</v>
          </cell>
          <cell r="V68">
            <v>21.4</v>
          </cell>
          <cell r="W68">
            <v>118</v>
          </cell>
          <cell r="X68">
            <v>0</v>
          </cell>
          <cell r="Y68">
            <v>0</v>
          </cell>
          <cell r="Z68">
            <v>0</v>
          </cell>
        </row>
        <row r="69">
          <cell r="A69">
            <v>43068</v>
          </cell>
          <cell r="B69">
            <v>68</v>
          </cell>
          <cell r="C69">
            <v>139.80000000000001</v>
          </cell>
          <cell r="D69">
            <v>250.7</v>
          </cell>
          <cell r="E69">
            <v>1.79</v>
          </cell>
          <cell r="F69">
            <v>8.5</v>
          </cell>
          <cell r="G69">
            <v>1.8</v>
          </cell>
          <cell r="H69">
            <v>0.1</v>
          </cell>
          <cell r="I69">
            <v>6.7</v>
          </cell>
          <cell r="J69">
            <v>25.1</v>
          </cell>
          <cell r="K69">
            <v>1.6</v>
          </cell>
          <cell r="L69">
            <v>0.2</v>
          </cell>
          <cell r="M69">
            <v>0</v>
          </cell>
          <cell r="N69">
            <v>0</v>
          </cell>
          <cell r="O69">
            <v>5.9</v>
          </cell>
          <cell r="P69">
            <v>0.1</v>
          </cell>
          <cell r="Q69">
            <v>0.1</v>
          </cell>
          <cell r="R69">
            <v>0.5</v>
          </cell>
          <cell r="S69">
            <v>0</v>
          </cell>
          <cell r="T69">
            <v>0</v>
          </cell>
          <cell r="U69">
            <v>0</v>
          </cell>
          <cell r="V69">
            <v>16.600000000000001</v>
          </cell>
          <cell r="W69">
            <v>8</v>
          </cell>
          <cell r="X69">
            <v>0</v>
          </cell>
          <cell r="Y69">
            <v>0</v>
          </cell>
          <cell r="Z69">
            <v>0</v>
          </cell>
        </row>
        <row r="70">
          <cell r="A70">
            <v>43069</v>
          </cell>
          <cell r="B70">
            <v>69</v>
          </cell>
          <cell r="C70">
            <v>391.8</v>
          </cell>
          <cell r="D70">
            <v>686.9</v>
          </cell>
          <cell r="E70">
            <v>1.75</v>
          </cell>
          <cell r="F70">
            <v>776.5</v>
          </cell>
          <cell r="G70">
            <v>34.200000000000003</v>
          </cell>
          <cell r="H70">
            <v>9.1999999999999993</v>
          </cell>
          <cell r="I70">
            <v>733.1</v>
          </cell>
          <cell r="J70">
            <v>828.5</v>
          </cell>
          <cell r="K70">
            <v>14.7</v>
          </cell>
          <cell r="L70">
            <v>19.399999999999999</v>
          </cell>
          <cell r="M70">
            <v>4.0999999999999996</v>
          </cell>
          <cell r="N70">
            <v>5.0999999999999996</v>
          </cell>
          <cell r="O70">
            <v>27.4</v>
          </cell>
          <cell r="P70">
            <v>29.8</v>
          </cell>
          <cell r="Q70">
            <v>8.5</v>
          </cell>
          <cell r="R70">
            <v>667.3</v>
          </cell>
          <cell r="S70">
            <v>0</v>
          </cell>
          <cell r="T70">
            <v>0</v>
          </cell>
          <cell r="U70">
            <v>5.6</v>
          </cell>
          <cell r="V70">
            <v>46.4</v>
          </cell>
          <cell r="W70">
            <v>214</v>
          </cell>
          <cell r="X70">
            <v>0</v>
          </cell>
          <cell r="Y70">
            <v>0</v>
          </cell>
          <cell r="Z70">
            <v>0</v>
          </cell>
        </row>
        <row r="71">
          <cell r="A71">
            <v>43070</v>
          </cell>
          <cell r="B71">
            <v>70</v>
          </cell>
          <cell r="C71">
            <v>191.7</v>
          </cell>
          <cell r="D71">
            <v>229.9</v>
          </cell>
          <cell r="E71">
            <v>1.2</v>
          </cell>
          <cell r="F71">
            <v>26.5</v>
          </cell>
          <cell r="G71">
            <v>1.1000000000000001</v>
          </cell>
          <cell r="H71">
            <v>3.7</v>
          </cell>
          <cell r="I71">
            <v>21.6</v>
          </cell>
          <cell r="J71">
            <v>58.4</v>
          </cell>
          <cell r="K71">
            <v>0.5</v>
          </cell>
          <cell r="L71">
            <v>0.6</v>
          </cell>
          <cell r="M71">
            <v>0.1</v>
          </cell>
          <cell r="N71">
            <v>3.6</v>
          </cell>
          <cell r="O71">
            <v>9.6999999999999993</v>
          </cell>
          <cell r="P71">
            <v>0.5</v>
          </cell>
          <cell r="Q71">
            <v>0.3</v>
          </cell>
          <cell r="R71">
            <v>11.2</v>
          </cell>
          <cell r="S71">
            <v>0</v>
          </cell>
          <cell r="T71">
            <v>0</v>
          </cell>
          <cell r="U71">
            <v>9.3000000000000007</v>
          </cell>
          <cell r="V71">
            <v>22.7</v>
          </cell>
          <cell r="W71">
            <v>54</v>
          </cell>
          <cell r="X71">
            <v>0</v>
          </cell>
          <cell r="Y71">
            <v>0</v>
          </cell>
          <cell r="Z71">
            <v>0</v>
          </cell>
        </row>
        <row r="72">
          <cell r="A72">
            <v>43071</v>
          </cell>
          <cell r="B72">
            <v>71</v>
          </cell>
          <cell r="C72">
            <v>33.700000000000003</v>
          </cell>
          <cell r="D72">
            <v>75.099999999999994</v>
          </cell>
          <cell r="E72">
            <v>2.23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13.3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9.3000000000000007</v>
          </cell>
          <cell r="V72">
            <v>4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</row>
        <row r="73">
          <cell r="A73">
            <v>43072</v>
          </cell>
          <cell r="B73">
            <v>72</v>
          </cell>
          <cell r="C73">
            <v>111.9</v>
          </cell>
          <cell r="D73">
            <v>191.1</v>
          </cell>
          <cell r="E73">
            <v>1.71</v>
          </cell>
          <cell r="F73">
            <v>11.9</v>
          </cell>
          <cell r="G73">
            <v>0.5</v>
          </cell>
          <cell r="H73">
            <v>1</v>
          </cell>
          <cell r="I73">
            <v>10.4</v>
          </cell>
          <cell r="J73">
            <v>25.2</v>
          </cell>
          <cell r="K73">
            <v>0.2</v>
          </cell>
          <cell r="L73">
            <v>0.3</v>
          </cell>
          <cell r="M73">
            <v>0.1</v>
          </cell>
          <cell r="N73">
            <v>1</v>
          </cell>
          <cell r="O73">
            <v>0.4</v>
          </cell>
          <cell r="P73">
            <v>0.2</v>
          </cell>
          <cell r="Q73">
            <v>0.1</v>
          </cell>
          <cell r="R73">
            <v>9.6999999999999993</v>
          </cell>
          <cell r="S73">
            <v>0</v>
          </cell>
          <cell r="T73">
            <v>0</v>
          </cell>
          <cell r="U73">
            <v>0</v>
          </cell>
          <cell r="V73">
            <v>13.3</v>
          </cell>
          <cell r="W73">
            <v>55</v>
          </cell>
          <cell r="X73">
            <v>0</v>
          </cell>
          <cell r="Y73">
            <v>0</v>
          </cell>
          <cell r="Z73">
            <v>0</v>
          </cell>
        </row>
        <row r="74">
          <cell r="A74">
            <v>43073</v>
          </cell>
          <cell r="B74">
            <v>73</v>
          </cell>
          <cell r="C74">
            <v>117.8</v>
          </cell>
          <cell r="D74">
            <v>197.8</v>
          </cell>
          <cell r="E74">
            <v>1.68</v>
          </cell>
          <cell r="F74">
            <v>702.2</v>
          </cell>
          <cell r="G74">
            <v>347.7</v>
          </cell>
          <cell r="H74">
            <v>36.799999999999997</v>
          </cell>
          <cell r="I74">
            <v>317.7</v>
          </cell>
          <cell r="J74">
            <v>723.6</v>
          </cell>
          <cell r="K74">
            <v>136.80000000000001</v>
          </cell>
          <cell r="L74">
            <v>210.9</v>
          </cell>
          <cell r="M74">
            <v>4</v>
          </cell>
          <cell r="N74">
            <v>32.799999999999997</v>
          </cell>
          <cell r="O74">
            <v>75</v>
          </cell>
          <cell r="P74">
            <v>14.3</v>
          </cell>
          <cell r="Q74">
            <v>49.9</v>
          </cell>
          <cell r="R74">
            <v>178.5</v>
          </cell>
          <cell r="S74">
            <v>0</v>
          </cell>
          <cell r="T74">
            <v>0</v>
          </cell>
          <cell r="U74">
            <v>7.4</v>
          </cell>
          <cell r="V74">
            <v>14</v>
          </cell>
          <cell r="W74">
            <v>48</v>
          </cell>
          <cell r="X74">
            <v>0</v>
          </cell>
          <cell r="Y74">
            <v>0</v>
          </cell>
          <cell r="Z74">
            <v>125</v>
          </cell>
        </row>
        <row r="75">
          <cell r="A75">
            <v>43074</v>
          </cell>
          <cell r="B75">
            <v>74</v>
          </cell>
          <cell r="C75">
            <v>31.5</v>
          </cell>
          <cell r="D75">
            <v>62.8</v>
          </cell>
          <cell r="E75">
            <v>1.99</v>
          </cell>
          <cell r="F75">
            <v>6.7</v>
          </cell>
          <cell r="G75">
            <v>0.3</v>
          </cell>
          <cell r="H75">
            <v>0.1</v>
          </cell>
          <cell r="I75">
            <v>6.3</v>
          </cell>
          <cell r="J75">
            <v>10.4</v>
          </cell>
          <cell r="K75">
            <v>0.1</v>
          </cell>
          <cell r="L75">
            <v>0.2</v>
          </cell>
          <cell r="M75">
            <v>0</v>
          </cell>
          <cell r="N75">
            <v>0</v>
          </cell>
          <cell r="O75">
            <v>0.3</v>
          </cell>
          <cell r="P75">
            <v>0.1</v>
          </cell>
          <cell r="Q75">
            <v>0.1</v>
          </cell>
          <cell r="R75">
            <v>5.8</v>
          </cell>
          <cell r="S75">
            <v>0</v>
          </cell>
          <cell r="T75">
            <v>0</v>
          </cell>
          <cell r="U75">
            <v>0</v>
          </cell>
          <cell r="V75">
            <v>3.7</v>
          </cell>
          <cell r="W75">
            <v>14</v>
          </cell>
          <cell r="X75">
            <v>0</v>
          </cell>
          <cell r="Y75">
            <v>0</v>
          </cell>
          <cell r="Z75">
            <v>0</v>
          </cell>
        </row>
        <row r="76">
          <cell r="A76">
            <v>43075</v>
          </cell>
          <cell r="B76">
            <v>75</v>
          </cell>
          <cell r="C76">
            <v>46.3</v>
          </cell>
          <cell r="D76">
            <v>85.5</v>
          </cell>
          <cell r="E76">
            <v>1.85</v>
          </cell>
          <cell r="F76">
            <v>6.6</v>
          </cell>
          <cell r="G76">
            <v>0.3</v>
          </cell>
          <cell r="H76">
            <v>0.1</v>
          </cell>
          <cell r="I76">
            <v>6.2</v>
          </cell>
          <cell r="J76">
            <v>13.9</v>
          </cell>
          <cell r="K76">
            <v>0.1</v>
          </cell>
          <cell r="L76">
            <v>0.2</v>
          </cell>
          <cell r="M76">
            <v>0</v>
          </cell>
          <cell r="N76">
            <v>0</v>
          </cell>
          <cell r="O76">
            <v>4.3</v>
          </cell>
          <cell r="P76">
            <v>0.1</v>
          </cell>
          <cell r="Q76">
            <v>0.1</v>
          </cell>
          <cell r="R76">
            <v>1.8</v>
          </cell>
          <cell r="S76">
            <v>0</v>
          </cell>
          <cell r="T76">
            <v>0</v>
          </cell>
          <cell r="U76">
            <v>1.9</v>
          </cell>
          <cell r="V76">
            <v>5.5</v>
          </cell>
          <cell r="W76">
            <v>14</v>
          </cell>
          <cell r="X76">
            <v>0</v>
          </cell>
          <cell r="Y76">
            <v>0</v>
          </cell>
          <cell r="Z76">
            <v>0</v>
          </cell>
        </row>
        <row r="77">
          <cell r="A77">
            <v>43076</v>
          </cell>
          <cell r="B77">
            <v>76</v>
          </cell>
          <cell r="C77">
            <v>53.5</v>
          </cell>
          <cell r="D77">
            <v>113</v>
          </cell>
          <cell r="E77">
            <v>2.11</v>
          </cell>
          <cell r="F77">
            <v>19.2</v>
          </cell>
          <cell r="G77">
            <v>0.7</v>
          </cell>
          <cell r="H77">
            <v>0.2</v>
          </cell>
          <cell r="I77">
            <v>18.3</v>
          </cell>
          <cell r="J77">
            <v>27.4</v>
          </cell>
          <cell r="K77">
            <v>0.3</v>
          </cell>
          <cell r="L77">
            <v>0.4</v>
          </cell>
          <cell r="M77">
            <v>0.1</v>
          </cell>
          <cell r="N77">
            <v>0.1</v>
          </cell>
          <cell r="O77">
            <v>9.1</v>
          </cell>
          <cell r="P77">
            <v>0.3</v>
          </cell>
          <cell r="Q77">
            <v>0.2</v>
          </cell>
          <cell r="R77">
            <v>8.6999999999999993</v>
          </cell>
          <cell r="S77">
            <v>0</v>
          </cell>
          <cell r="T77">
            <v>0</v>
          </cell>
          <cell r="U77">
            <v>1.9</v>
          </cell>
          <cell r="V77">
            <v>6.3</v>
          </cell>
          <cell r="W77">
            <v>12</v>
          </cell>
          <cell r="X77">
            <v>0</v>
          </cell>
          <cell r="Y77">
            <v>0</v>
          </cell>
          <cell r="Z77">
            <v>0</v>
          </cell>
        </row>
        <row r="78">
          <cell r="A78">
            <v>43077</v>
          </cell>
          <cell r="B78">
            <v>77</v>
          </cell>
          <cell r="C78">
            <v>0</v>
          </cell>
          <cell r="D78">
            <v>0</v>
          </cell>
          <cell r="E78">
            <v>0</v>
          </cell>
          <cell r="F78">
            <v>424.1</v>
          </cell>
          <cell r="G78">
            <v>26.2</v>
          </cell>
          <cell r="H78">
            <v>7.1</v>
          </cell>
          <cell r="I78">
            <v>390.9</v>
          </cell>
          <cell r="J78">
            <v>424.1</v>
          </cell>
          <cell r="K78">
            <v>11.4</v>
          </cell>
          <cell r="L78">
            <v>14.9</v>
          </cell>
          <cell r="M78">
            <v>3.1</v>
          </cell>
          <cell r="N78">
            <v>3.9</v>
          </cell>
          <cell r="O78">
            <v>21.2</v>
          </cell>
          <cell r="P78">
            <v>320.60000000000002</v>
          </cell>
          <cell r="Q78">
            <v>6.6</v>
          </cell>
          <cell r="R78">
            <v>42.5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</row>
        <row r="79">
          <cell r="A79">
            <v>43078</v>
          </cell>
          <cell r="B79">
            <v>78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</row>
        <row r="80">
          <cell r="A80">
            <v>43079</v>
          </cell>
          <cell r="B80">
            <v>79</v>
          </cell>
          <cell r="C80">
            <v>117.7</v>
          </cell>
          <cell r="D80">
            <v>259.3</v>
          </cell>
          <cell r="E80">
            <v>2.2000000000000002</v>
          </cell>
          <cell r="F80">
            <v>461.2</v>
          </cell>
          <cell r="G80">
            <v>52.6</v>
          </cell>
          <cell r="H80">
            <v>46.6</v>
          </cell>
          <cell r="I80">
            <v>362</v>
          </cell>
          <cell r="J80">
            <v>476.9</v>
          </cell>
          <cell r="K80">
            <v>23.2</v>
          </cell>
          <cell r="L80">
            <v>29.4</v>
          </cell>
          <cell r="M80">
            <v>13.1</v>
          </cell>
          <cell r="N80">
            <v>33.5</v>
          </cell>
          <cell r="O80">
            <v>34.200000000000003</v>
          </cell>
          <cell r="P80">
            <v>189.7</v>
          </cell>
          <cell r="Q80">
            <v>11.4</v>
          </cell>
          <cell r="R80">
            <v>126.7</v>
          </cell>
          <cell r="S80">
            <v>0</v>
          </cell>
          <cell r="T80">
            <v>0</v>
          </cell>
          <cell r="U80">
            <v>1.9</v>
          </cell>
          <cell r="V80">
            <v>13.9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</row>
        <row r="81">
          <cell r="A81">
            <v>43080</v>
          </cell>
          <cell r="B81">
            <v>80</v>
          </cell>
          <cell r="C81">
            <v>116.3</v>
          </cell>
          <cell r="D81">
            <v>179.1</v>
          </cell>
          <cell r="E81">
            <v>1.54</v>
          </cell>
          <cell r="F81">
            <v>1382.6</v>
          </cell>
          <cell r="G81">
            <v>456.9</v>
          </cell>
          <cell r="H81">
            <v>31.9</v>
          </cell>
          <cell r="I81">
            <v>893.8</v>
          </cell>
          <cell r="J81">
            <v>1411.3</v>
          </cell>
          <cell r="K81">
            <v>56.4</v>
          </cell>
          <cell r="L81">
            <v>400.5</v>
          </cell>
          <cell r="M81">
            <v>14.3</v>
          </cell>
          <cell r="N81">
            <v>17.600000000000001</v>
          </cell>
          <cell r="O81">
            <v>213.4</v>
          </cell>
          <cell r="P81">
            <v>98.2</v>
          </cell>
          <cell r="Q81">
            <v>31.2</v>
          </cell>
          <cell r="R81">
            <v>551.1</v>
          </cell>
          <cell r="S81">
            <v>0</v>
          </cell>
          <cell r="T81">
            <v>0</v>
          </cell>
          <cell r="U81">
            <v>14.8</v>
          </cell>
          <cell r="V81">
            <v>13.8</v>
          </cell>
          <cell r="W81">
            <v>375</v>
          </cell>
          <cell r="X81">
            <v>0</v>
          </cell>
          <cell r="Y81">
            <v>321</v>
          </cell>
          <cell r="Z81">
            <v>0</v>
          </cell>
        </row>
        <row r="82">
          <cell r="A82">
            <v>43081</v>
          </cell>
          <cell r="B82">
            <v>81</v>
          </cell>
          <cell r="C82">
            <v>76</v>
          </cell>
          <cell r="D82">
            <v>236.7</v>
          </cell>
          <cell r="E82">
            <v>3.11</v>
          </cell>
          <cell r="F82">
            <v>896.6</v>
          </cell>
          <cell r="G82">
            <v>263</v>
          </cell>
          <cell r="H82">
            <v>36.1</v>
          </cell>
          <cell r="I82">
            <v>597.4</v>
          </cell>
          <cell r="J82">
            <v>911.1</v>
          </cell>
          <cell r="K82">
            <v>134.1</v>
          </cell>
          <cell r="L82">
            <v>128.9</v>
          </cell>
          <cell r="M82">
            <v>13.2</v>
          </cell>
          <cell r="N82">
            <v>23</v>
          </cell>
          <cell r="O82">
            <v>123.7</v>
          </cell>
          <cell r="P82">
            <v>47.1</v>
          </cell>
          <cell r="Q82">
            <v>27.5</v>
          </cell>
          <cell r="R82">
            <v>399.1</v>
          </cell>
          <cell r="S82">
            <v>0</v>
          </cell>
          <cell r="T82">
            <v>0</v>
          </cell>
          <cell r="U82">
            <v>5.6</v>
          </cell>
          <cell r="V82">
            <v>9</v>
          </cell>
          <cell r="W82">
            <v>0</v>
          </cell>
          <cell r="X82">
            <v>0</v>
          </cell>
          <cell r="Y82">
            <v>31</v>
          </cell>
          <cell r="Z82">
            <v>154</v>
          </cell>
        </row>
        <row r="83">
          <cell r="A83">
            <v>43082</v>
          </cell>
          <cell r="B83">
            <v>82</v>
          </cell>
          <cell r="C83">
            <v>358.9</v>
          </cell>
          <cell r="D83">
            <v>923.4</v>
          </cell>
          <cell r="E83">
            <v>2.57</v>
          </cell>
          <cell r="F83">
            <v>1146.5</v>
          </cell>
          <cell r="G83">
            <v>343.4</v>
          </cell>
          <cell r="H83">
            <v>68.7</v>
          </cell>
          <cell r="I83">
            <v>734.4</v>
          </cell>
          <cell r="J83">
            <v>1215</v>
          </cell>
          <cell r="K83">
            <v>139.1</v>
          </cell>
          <cell r="L83">
            <v>204.3</v>
          </cell>
          <cell r="M83">
            <v>42.7</v>
          </cell>
          <cell r="N83">
            <v>26</v>
          </cell>
          <cell r="O83">
            <v>138.30000000000001</v>
          </cell>
          <cell r="P83">
            <v>68.400000000000006</v>
          </cell>
          <cell r="Q83">
            <v>119.1</v>
          </cell>
          <cell r="R83">
            <v>408.6</v>
          </cell>
          <cell r="S83">
            <v>0</v>
          </cell>
          <cell r="T83">
            <v>0</v>
          </cell>
          <cell r="U83">
            <v>26</v>
          </cell>
          <cell r="V83">
            <v>42.5</v>
          </cell>
          <cell r="W83">
            <v>0</v>
          </cell>
          <cell r="X83">
            <v>0</v>
          </cell>
          <cell r="Y83">
            <v>14</v>
          </cell>
          <cell r="Z83">
            <v>0</v>
          </cell>
        </row>
        <row r="84">
          <cell r="A84">
            <v>43083</v>
          </cell>
          <cell r="B84">
            <v>83</v>
          </cell>
          <cell r="C84">
            <v>60.9</v>
          </cell>
          <cell r="D84">
            <v>81.7</v>
          </cell>
          <cell r="E84">
            <v>1.34</v>
          </cell>
          <cell r="F84">
            <v>1457.1</v>
          </cell>
          <cell r="G84">
            <v>212.1</v>
          </cell>
          <cell r="H84">
            <v>45</v>
          </cell>
          <cell r="I84">
            <v>1200</v>
          </cell>
          <cell r="J84">
            <v>1481</v>
          </cell>
          <cell r="K84">
            <v>109.4</v>
          </cell>
          <cell r="L84">
            <v>102.7</v>
          </cell>
          <cell r="M84">
            <v>15.6</v>
          </cell>
          <cell r="N84">
            <v>29.4</v>
          </cell>
          <cell r="O84">
            <v>606.20000000000005</v>
          </cell>
          <cell r="P84">
            <v>56.4</v>
          </cell>
          <cell r="Q84">
            <v>54.3</v>
          </cell>
          <cell r="R84">
            <v>483.1</v>
          </cell>
          <cell r="S84">
            <v>0</v>
          </cell>
          <cell r="T84">
            <v>0</v>
          </cell>
          <cell r="U84">
            <v>16.7</v>
          </cell>
          <cell r="V84">
            <v>7.2</v>
          </cell>
          <cell r="W84">
            <v>0</v>
          </cell>
          <cell r="X84">
            <v>0</v>
          </cell>
          <cell r="Y84">
            <v>325</v>
          </cell>
          <cell r="Z84">
            <v>21</v>
          </cell>
        </row>
        <row r="85">
          <cell r="A85">
            <v>43084</v>
          </cell>
          <cell r="B85">
            <v>84</v>
          </cell>
          <cell r="C85">
            <v>131.30000000000001</v>
          </cell>
          <cell r="D85">
            <v>305.10000000000002</v>
          </cell>
          <cell r="E85">
            <v>2.3199999999999998</v>
          </cell>
          <cell r="F85">
            <v>1848.4</v>
          </cell>
          <cell r="G85">
            <v>302.10000000000002</v>
          </cell>
          <cell r="H85">
            <v>58.1</v>
          </cell>
          <cell r="I85">
            <v>1488.2</v>
          </cell>
          <cell r="J85">
            <v>1871.4</v>
          </cell>
          <cell r="K85">
            <v>73.099999999999994</v>
          </cell>
          <cell r="L85">
            <v>229</v>
          </cell>
          <cell r="M85">
            <v>20</v>
          </cell>
          <cell r="N85">
            <v>38.1</v>
          </cell>
          <cell r="O85">
            <v>556</v>
          </cell>
          <cell r="P85">
            <v>110.3</v>
          </cell>
          <cell r="Q85">
            <v>168.2</v>
          </cell>
          <cell r="R85">
            <v>653.79999999999995</v>
          </cell>
          <cell r="S85">
            <v>0</v>
          </cell>
          <cell r="T85">
            <v>0</v>
          </cell>
          <cell r="U85">
            <v>7.4</v>
          </cell>
          <cell r="V85">
            <v>15.6</v>
          </cell>
          <cell r="W85">
            <v>6</v>
          </cell>
          <cell r="X85">
            <v>0</v>
          </cell>
          <cell r="Y85">
            <v>0</v>
          </cell>
          <cell r="Z85">
            <v>209</v>
          </cell>
        </row>
        <row r="86">
          <cell r="A86">
            <v>43085</v>
          </cell>
          <cell r="B86">
            <v>85</v>
          </cell>
          <cell r="C86">
            <v>215.9</v>
          </cell>
          <cell r="D86">
            <v>500.4</v>
          </cell>
          <cell r="E86">
            <v>2.3199999999999998</v>
          </cell>
          <cell r="F86">
            <v>659.8</v>
          </cell>
          <cell r="G86">
            <v>27.2</v>
          </cell>
          <cell r="H86">
            <v>47.9</v>
          </cell>
          <cell r="I86">
            <v>584.6</v>
          </cell>
          <cell r="J86">
            <v>687.2</v>
          </cell>
          <cell r="K86">
            <v>11.7</v>
          </cell>
          <cell r="L86">
            <v>15.4</v>
          </cell>
          <cell r="M86">
            <v>3.2</v>
          </cell>
          <cell r="N86">
            <v>44.7</v>
          </cell>
          <cell r="O86">
            <v>267.60000000000002</v>
          </cell>
          <cell r="P86">
            <v>11.6</v>
          </cell>
          <cell r="Q86">
            <v>112.5</v>
          </cell>
          <cell r="R86">
            <v>192.9</v>
          </cell>
          <cell r="S86">
            <v>0</v>
          </cell>
          <cell r="T86">
            <v>0</v>
          </cell>
          <cell r="U86">
            <v>1.9</v>
          </cell>
          <cell r="V86">
            <v>25.6</v>
          </cell>
          <cell r="W86">
            <v>23</v>
          </cell>
          <cell r="X86">
            <v>0</v>
          </cell>
          <cell r="Y86">
            <v>216</v>
          </cell>
          <cell r="Z86">
            <v>0</v>
          </cell>
        </row>
        <row r="87">
          <cell r="A87">
            <v>43086</v>
          </cell>
          <cell r="B87">
            <v>86</v>
          </cell>
          <cell r="C87">
            <v>173.1</v>
          </cell>
          <cell r="D87">
            <v>323.39999999999998</v>
          </cell>
          <cell r="E87">
            <v>1.87</v>
          </cell>
          <cell r="F87">
            <v>123.9</v>
          </cell>
          <cell r="G87">
            <v>14.8</v>
          </cell>
          <cell r="H87">
            <v>2.9</v>
          </cell>
          <cell r="I87">
            <v>106.2</v>
          </cell>
          <cell r="J87">
            <v>146.30000000000001</v>
          </cell>
          <cell r="K87">
            <v>2.2999999999999998</v>
          </cell>
          <cell r="L87">
            <v>12.5</v>
          </cell>
          <cell r="M87">
            <v>0.6</v>
          </cell>
          <cell r="N87">
            <v>2.2000000000000002</v>
          </cell>
          <cell r="O87">
            <v>9.4</v>
          </cell>
          <cell r="P87">
            <v>2.2999999999999998</v>
          </cell>
          <cell r="Q87">
            <v>1.3</v>
          </cell>
          <cell r="R87">
            <v>93.2</v>
          </cell>
          <cell r="S87">
            <v>0</v>
          </cell>
          <cell r="T87">
            <v>0</v>
          </cell>
          <cell r="U87">
            <v>1.9</v>
          </cell>
          <cell r="V87">
            <v>20.5</v>
          </cell>
          <cell r="W87">
            <v>33</v>
          </cell>
          <cell r="X87">
            <v>0</v>
          </cell>
          <cell r="Y87">
            <v>0</v>
          </cell>
          <cell r="Z87">
            <v>0</v>
          </cell>
        </row>
        <row r="88">
          <cell r="A88">
            <v>43087</v>
          </cell>
          <cell r="B88">
            <v>87</v>
          </cell>
          <cell r="C88">
            <v>0</v>
          </cell>
          <cell r="D88">
            <v>0</v>
          </cell>
          <cell r="E88">
            <v>0</v>
          </cell>
          <cell r="F88">
            <v>460.6</v>
          </cell>
          <cell r="G88">
            <v>114.1</v>
          </cell>
          <cell r="H88">
            <v>12.3</v>
          </cell>
          <cell r="I88">
            <v>334.3</v>
          </cell>
          <cell r="J88">
            <v>462.5</v>
          </cell>
          <cell r="K88">
            <v>76.599999999999994</v>
          </cell>
          <cell r="L88">
            <v>37.5</v>
          </cell>
          <cell r="M88">
            <v>5.4</v>
          </cell>
          <cell r="N88">
            <v>6.8</v>
          </cell>
          <cell r="O88">
            <v>36.700000000000003</v>
          </cell>
          <cell r="P88">
            <v>19.5</v>
          </cell>
          <cell r="Q88">
            <v>11.4</v>
          </cell>
          <cell r="R88">
            <v>266.7</v>
          </cell>
          <cell r="S88">
            <v>0</v>
          </cell>
          <cell r="T88">
            <v>0</v>
          </cell>
          <cell r="U88">
            <v>1.9</v>
          </cell>
          <cell r="V88">
            <v>0</v>
          </cell>
          <cell r="W88">
            <v>0</v>
          </cell>
          <cell r="X88">
            <v>0</v>
          </cell>
          <cell r="Y88">
            <v>34</v>
          </cell>
          <cell r="Z88">
            <v>0</v>
          </cell>
        </row>
        <row r="89">
          <cell r="A89">
            <v>43088</v>
          </cell>
          <cell r="B89">
            <v>88</v>
          </cell>
          <cell r="C89">
            <v>0</v>
          </cell>
          <cell r="D89">
            <v>0</v>
          </cell>
          <cell r="E89">
            <v>0</v>
          </cell>
          <cell r="F89">
            <v>534.79999999999995</v>
          </cell>
          <cell r="G89">
            <v>69.3</v>
          </cell>
          <cell r="H89">
            <v>192.9</v>
          </cell>
          <cell r="I89">
            <v>272.7</v>
          </cell>
          <cell r="J89">
            <v>536.70000000000005</v>
          </cell>
          <cell r="K89">
            <v>30.2</v>
          </cell>
          <cell r="L89">
            <v>39</v>
          </cell>
          <cell r="M89">
            <v>22.2</v>
          </cell>
          <cell r="N89">
            <v>170.7</v>
          </cell>
          <cell r="O89">
            <v>87.7</v>
          </cell>
          <cell r="P89">
            <v>36.1</v>
          </cell>
          <cell r="Q89">
            <v>17.3</v>
          </cell>
          <cell r="R89">
            <v>131.6</v>
          </cell>
          <cell r="S89">
            <v>0</v>
          </cell>
          <cell r="T89">
            <v>0</v>
          </cell>
          <cell r="U89">
            <v>1.9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</row>
        <row r="90">
          <cell r="A90">
            <v>43089</v>
          </cell>
          <cell r="B90">
            <v>89</v>
          </cell>
          <cell r="C90">
            <v>163.1</v>
          </cell>
          <cell r="D90">
            <v>545.6</v>
          </cell>
          <cell r="E90">
            <v>3.34</v>
          </cell>
          <cell r="F90">
            <v>179</v>
          </cell>
          <cell r="G90">
            <v>21.6</v>
          </cell>
          <cell r="H90">
            <v>5.8</v>
          </cell>
          <cell r="I90">
            <v>151.6</v>
          </cell>
          <cell r="J90">
            <v>202</v>
          </cell>
          <cell r="K90">
            <v>9.4</v>
          </cell>
          <cell r="L90">
            <v>12.2</v>
          </cell>
          <cell r="M90">
            <v>2.6</v>
          </cell>
          <cell r="N90">
            <v>3.2</v>
          </cell>
          <cell r="O90">
            <v>25.3</v>
          </cell>
          <cell r="P90">
            <v>9.1999999999999993</v>
          </cell>
          <cell r="Q90">
            <v>5.4</v>
          </cell>
          <cell r="R90">
            <v>111.7</v>
          </cell>
          <cell r="S90">
            <v>0</v>
          </cell>
          <cell r="T90">
            <v>0</v>
          </cell>
          <cell r="U90">
            <v>3.7</v>
          </cell>
          <cell r="V90">
            <v>19.3</v>
          </cell>
          <cell r="W90">
            <v>0</v>
          </cell>
          <cell r="X90">
            <v>0</v>
          </cell>
          <cell r="Y90">
            <v>98</v>
          </cell>
          <cell r="Z90">
            <v>0</v>
          </cell>
        </row>
        <row r="91">
          <cell r="A91">
            <v>43090</v>
          </cell>
          <cell r="B91">
            <v>90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17</v>
          </cell>
          <cell r="Z91">
            <v>0</v>
          </cell>
        </row>
        <row r="92">
          <cell r="A92">
            <v>43091</v>
          </cell>
          <cell r="B92">
            <v>91</v>
          </cell>
          <cell r="C92">
            <v>109.4</v>
          </cell>
          <cell r="D92">
            <v>206.1</v>
          </cell>
          <cell r="E92">
            <v>1.88</v>
          </cell>
          <cell r="F92">
            <v>1026.7</v>
          </cell>
          <cell r="G92">
            <v>315.5</v>
          </cell>
          <cell r="H92">
            <v>55.2</v>
          </cell>
          <cell r="I92">
            <v>656</v>
          </cell>
          <cell r="J92">
            <v>1052.7</v>
          </cell>
          <cell r="K92">
            <v>130.69999999999999</v>
          </cell>
          <cell r="L92">
            <v>184.8</v>
          </cell>
          <cell r="M92">
            <v>27.8</v>
          </cell>
          <cell r="N92">
            <v>27.4</v>
          </cell>
          <cell r="O92">
            <v>163.19999999999999</v>
          </cell>
          <cell r="P92">
            <v>78.3</v>
          </cell>
          <cell r="Q92">
            <v>45.6</v>
          </cell>
          <cell r="R92">
            <v>368.9</v>
          </cell>
          <cell r="S92">
            <v>0</v>
          </cell>
          <cell r="T92">
            <v>0</v>
          </cell>
          <cell r="U92">
            <v>13</v>
          </cell>
          <cell r="V92">
            <v>13</v>
          </cell>
          <cell r="W92">
            <v>0</v>
          </cell>
          <cell r="X92">
            <v>0</v>
          </cell>
          <cell r="Y92">
            <v>416</v>
          </cell>
          <cell r="Z92">
            <v>54</v>
          </cell>
        </row>
        <row r="93">
          <cell r="A93">
            <v>43092</v>
          </cell>
          <cell r="B93">
            <v>92</v>
          </cell>
          <cell r="C93">
            <v>224</v>
          </cell>
          <cell r="D93">
            <v>434.4</v>
          </cell>
          <cell r="E93">
            <v>1.94</v>
          </cell>
          <cell r="F93">
            <v>1456.2</v>
          </cell>
          <cell r="G93">
            <v>84.9</v>
          </cell>
          <cell r="H93">
            <v>22.9</v>
          </cell>
          <cell r="I93">
            <v>1348.4</v>
          </cell>
          <cell r="J93">
            <v>1486.4</v>
          </cell>
          <cell r="K93">
            <v>36.799999999999997</v>
          </cell>
          <cell r="L93">
            <v>48.2</v>
          </cell>
          <cell r="M93">
            <v>10.1</v>
          </cell>
          <cell r="N93">
            <v>12.7</v>
          </cell>
          <cell r="O93">
            <v>68.599999999999994</v>
          </cell>
          <cell r="P93">
            <v>36.299999999999997</v>
          </cell>
          <cell r="Q93">
            <v>37.700000000000003</v>
          </cell>
          <cell r="R93">
            <v>1205.8</v>
          </cell>
          <cell r="S93">
            <v>0</v>
          </cell>
          <cell r="T93">
            <v>0</v>
          </cell>
          <cell r="U93">
            <v>3.7</v>
          </cell>
          <cell r="V93">
            <v>26.5</v>
          </cell>
          <cell r="W93">
            <v>485</v>
          </cell>
          <cell r="X93">
            <v>0</v>
          </cell>
          <cell r="Y93">
            <v>75</v>
          </cell>
          <cell r="Z93">
            <v>32</v>
          </cell>
        </row>
        <row r="94">
          <cell r="A94">
            <v>43093</v>
          </cell>
          <cell r="B94">
            <v>93</v>
          </cell>
          <cell r="C94">
            <v>146.80000000000001</v>
          </cell>
          <cell r="D94">
            <v>236</v>
          </cell>
          <cell r="E94">
            <v>1.61</v>
          </cell>
          <cell r="F94">
            <v>1180.4000000000001</v>
          </cell>
          <cell r="G94">
            <v>541.9</v>
          </cell>
          <cell r="H94">
            <v>39.6</v>
          </cell>
          <cell r="I94">
            <v>598.9</v>
          </cell>
          <cell r="J94">
            <v>1210.8</v>
          </cell>
          <cell r="K94">
            <v>119.5</v>
          </cell>
          <cell r="L94">
            <v>422.4</v>
          </cell>
          <cell r="M94">
            <v>19.2</v>
          </cell>
          <cell r="N94">
            <v>20.399999999999999</v>
          </cell>
          <cell r="O94">
            <v>109.5</v>
          </cell>
          <cell r="P94">
            <v>67.7</v>
          </cell>
          <cell r="Q94">
            <v>34.1</v>
          </cell>
          <cell r="R94">
            <v>387.7</v>
          </cell>
          <cell r="S94">
            <v>0</v>
          </cell>
          <cell r="T94">
            <v>0</v>
          </cell>
          <cell r="U94">
            <v>13</v>
          </cell>
          <cell r="V94">
            <v>17.399999999999999</v>
          </cell>
          <cell r="W94">
            <v>280</v>
          </cell>
          <cell r="X94">
            <v>0</v>
          </cell>
          <cell r="Y94">
            <v>181</v>
          </cell>
          <cell r="Z94">
            <v>0</v>
          </cell>
        </row>
        <row r="95">
          <cell r="A95">
            <v>43094</v>
          </cell>
          <cell r="B95">
            <v>94</v>
          </cell>
          <cell r="C95">
            <v>172.3</v>
          </cell>
          <cell r="D95">
            <v>284.8</v>
          </cell>
          <cell r="E95">
            <v>1.65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33.4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13</v>
          </cell>
          <cell r="V95">
            <v>20.399999999999999</v>
          </cell>
          <cell r="W95">
            <v>48</v>
          </cell>
          <cell r="X95">
            <v>0</v>
          </cell>
          <cell r="Y95">
            <v>0</v>
          </cell>
          <cell r="Z95">
            <v>0</v>
          </cell>
        </row>
        <row r="96">
          <cell r="A96">
            <v>43095</v>
          </cell>
          <cell r="B96">
            <v>95</v>
          </cell>
          <cell r="C96">
            <v>73.400000000000006</v>
          </cell>
          <cell r="D96">
            <v>122.1</v>
          </cell>
          <cell r="E96">
            <v>1.66</v>
          </cell>
          <cell r="F96">
            <v>18.5</v>
          </cell>
          <cell r="G96">
            <v>11.5</v>
          </cell>
          <cell r="H96">
            <v>0.2</v>
          </cell>
          <cell r="I96">
            <v>6.8</v>
          </cell>
          <cell r="J96">
            <v>27.2</v>
          </cell>
          <cell r="K96">
            <v>0.3</v>
          </cell>
          <cell r="L96">
            <v>11.2</v>
          </cell>
          <cell r="M96">
            <v>0.1</v>
          </cell>
          <cell r="N96">
            <v>0.1</v>
          </cell>
          <cell r="O96">
            <v>5.2</v>
          </cell>
          <cell r="P96">
            <v>0.3</v>
          </cell>
          <cell r="Q96">
            <v>0.2</v>
          </cell>
          <cell r="R96">
            <v>1.1000000000000001</v>
          </cell>
          <cell r="S96">
            <v>0</v>
          </cell>
          <cell r="T96">
            <v>0</v>
          </cell>
          <cell r="U96">
            <v>0</v>
          </cell>
          <cell r="V96">
            <v>8.6999999999999993</v>
          </cell>
          <cell r="W96">
            <v>69</v>
          </cell>
          <cell r="X96">
            <v>0</v>
          </cell>
          <cell r="Y96">
            <v>0</v>
          </cell>
          <cell r="Z96">
            <v>0</v>
          </cell>
        </row>
        <row r="97">
          <cell r="A97">
            <v>43096</v>
          </cell>
          <cell r="B97">
            <v>96</v>
          </cell>
          <cell r="C97">
            <v>176.3</v>
          </cell>
          <cell r="D97">
            <v>318.7</v>
          </cell>
          <cell r="E97">
            <v>1.81</v>
          </cell>
          <cell r="F97">
            <v>25.9</v>
          </cell>
          <cell r="G97">
            <v>2.6</v>
          </cell>
          <cell r="H97">
            <v>0.3</v>
          </cell>
          <cell r="I97">
            <v>23</v>
          </cell>
          <cell r="J97">
            <v>56.1</v>
          </cell>
          <cell r="K97">
            <v>2</v>
          </cell>
          <cell r="L97">
            <v>0.6</v>
          </cell>
          <cell r="M97">
            <v>0.1</v>
          </cell>
          <cell r="N97">
            <v>0.2</v>
          </cell>
          <cell r="O97">
            <v>5.2</v>
          </cell>
          <cell r="P97">
            <v>0.5</v>
          </cell>
          <cell r="Q97">
            <v>0.3</v>
          </cell>
          <cell r="R97">
            <v>17.100000000000001</v>
          </cell>
          <cell r="S97">
            <v>0</v>
          </cell>
          <cell r="T97">
            <v>0</v>
          </cell>
          <cell r="U97">
            <v>9.3000000000000007</v>
          </cell>
          <cell r="V97">
            <v>20.9</v>
          </cell>
          <cell r="W97">
            <v>210</v>
          </cell>
          <cell r="X97">
            <v>0</v>
          </cell>
          <cell r="Y97">
            <v>210</v>
          </cell>
          <cell r="Z97">
            <v>0</v>
          </cell>
        </row>
        <row r="98">
          <cell r="A98">
            <v>43097</v>
          </cell>
          <cell r="B98">
            <v>97</v>
          </cell>
          <cell r="C98">
            <v>199.9</v>
          </cell>
          <cell r="D98">
            <v>246.6</v>
          </cell>
          <cell r="E98">
            <v>1.23</v>
          </cell>
          <cell r="F98">
            <v>236.7</v>
          </cell>
          <cell r="G98">
            <v>108.6</v>
          </cell>
          <cell r="H98">
            <v>7.2</v>
          </cell>
          <cell r="I98">
            <v>120.9</v>
          </cell>
          <cell r="J98">
            <v>282.39999999999998</v>
          </cell>
          <cell r="K98">
            <v>4.5999999999999996</v>
          </cell>
          <cell r="L98">
            <v>104.1</v>
          </cell>
          <cell r="M98">
            <v>3.8</v>
          </cell>
          <cell r="N98">
            <v>3.4</v>
          </cell>
          <cell r="O98">
            <v>85.5</v>
          </cell>
          <cell r="P98">
            <v>4.5</v>
          </cell>
          <cell r="Q98">
            <v>3.2</v>
          </cell>
          <cell r="R98">
            <v>27.6</v>
          </cell>
          <cell r="S98">
            <v>0</v>
          </cell>
          <cell r="T98">
            <v>20.100000000000001</v>
          </cell>
          <cell r="U98">
            <v>1.9</v>
          </cell>
          <cell r="V98">
            <v>23.7</v>
          </cell>
          <cell r="W98">
            <v>220</v>
          </cell>
          <cell r="X98">
            <v>0</v>
          </cell>
          <cell r="Y98">
            <v>0</v>
          </cell>
          <cell r="Z98">
            <v>12</v>
          </cell>
        </row>
        <row r="99">
          <cell r="A99">
            <v>43098</v>
          </cell>
          <cell r="B99">
            <v>98</v>
          </cell>
          <cell r="C99">
            <v>86.8</v>
          </cell>
          <cell r="D99">
            <v>126.6</v>
          </cell>
          <cell r="E99">
            <v>1.46</v>
          </cell>
          <cell r="F99">
            <v>2475.5</v>
          </cell>
          <cell r="G99">
            <v>1198.5999999999999</v>
          </cell>
          <cell r="H99">
            <v>52</v>
          </cell>
          <cell r="I99">
            <v>1224.8</v>
          </cell>
          <cell r="J99">
            <v>2487.6999999999998</v>
          </cell>
          <cell r="K99">
            <v>334</v>
          </cell>
          <cell r="L99">
            <v>864.7</v>
          </cell>
          <cell r="M99">
            <v>33.6</v>
          </cell>
          <cell r="N99">
            <v>18.399999999999999</v>
          </cell>
          <cell r="O99">
            <v>415.1</v>
          </cell>
          <cell r="P99">
            <v>354.5</v>
          </cell>
          <cell r="Q99">
            <v>30.7</v>
          </cell>
          <cell r="R99">
            <v>424.5</v>
          </cell>
          <cell r="S99">
            <v>0</v>
          </cell>
          <cell r="T99">
            <v>0</v>
          </cell>
          <cell r="U99">
            <v>1.9</v>
          </cell>
          <cell r="V99">
            <v>10.3</v>
          </cell>
          <cell r="W99">
            <v>59</v>
          </cell>
          <cell r="X99">
            <v>0</v>
          </cell>
          <cell r="Y99">
            <v>59</v>
          </cell>
          <cell r="Z99">
            <v>0</v>
          </cell>
        </row>
        <row r="100">
          <cell r="A100">
            <v>43099</v>
          </cell>
          <cell r="B100">
            <v>99</v>
          </cell>
          <cell r="C100">
            <v>192.7</v>
          </cell>
          <cell r="D100">
            <v>282.60000000000002</v>
          </cell>
          <cell r="E100">
            <v>1.47</v>
          </cell>
          <cell r="F100">
            <v>7.8</v>
          </cell>
          <cell r="G100">
            <v>0.3</v>
          </cell>
          <cell r="H100">
            <v>0.1</v>
          </cell>
          <cell r="I100">
            <v>7.4</v>
          </cell>
          <cell r="J100">
            <v>41.7</v>
          </cell>
          <cell r="K100">
            <v>0.1</v>
          </cell>
          <cell r="L100">
            <v>0.2</v>
          </cell>
          <cell r="M100">
            <v>0</v>
          </cell>
          <cell r="N100">
            <v>0.1</v>
          </cell>
          <cell r="O100">
            <v>4.4000000000000004</v>
          </cell>
          <cell r="P100">
            <v>0.1</v>
          </cell>
          <cell r="Q100">
            <v>1</v>
          </cell>
          <cell r="R100">
            <v>1.9</v>
          </cell>
          <cell r="S100">
            <v>0</v>
          </cell>
          <cell r="T100">
            <v>0</v>
          </cell>
          <cell r="U100">
            <v>11.1</v>
          </cell>
          <cell r="V100">
            <v>22.8</v>
          </cell>
          <cell r="W100">
            <v>115</v>
          </cell>
          <cell r="X100">
            <v>0</v>
          </cell>
          <cell r="Y100">
            <v>0</v>
          </cell>
          <cell r="Z100">
            <v>0</v>
          </cell>
        </row>
        <row r="101">
          <cell r="A101">
            <v>43100</v>
          </cell>
          <cell r="B101">
            <v>100</v>
          </cell>
          <cell r="C101">
            <v>154.69999999999999</v>
          </cell>
          <cell r="D101">
            <v>297</v>
          </cell>
          <cell r="E101">
            <v>1.9198448610000001</v>
          </cell>
          <cell r="F101">
            <v>2009.2</v>
          </cell>
          <cell r="G101">
            <v>88.1</v>
          </cell>
          <cell r="H101">
            <v>23.8</v>
          </cell>
          <cell r="I101">
            <v>1897.4</v>
          </cell>
          <cell r="J101">
            <v>2029.8</v>
          </cell>
          <cell r="K101">
            <v>38</v>
          </cell>
          <cell r="L101">
            <v>50.1</v>
          </cell>
          <cell r="M101">
            <v>10.5</v>
          </cell>
          <cell r="N101">
            <v>13.2</v>
          </cell>
          <cell r="O101">
            <v>86.4</v>
          </cell>
          <cell r="P101">
            <v>37.6</v>
          </cell>
          <cell r="Q101">
            <v>22</v>
          </cell>
          <cell r="R101">
            <v>1751.4</v>
          </cell>
          <cell r="S101">
            <v>0</v>
          </cell>
          <cell r="T101">
            <v>0</v>
          </cell>
          <cell r="U101">
            <v>5.6</v>
          </cell>
          <cell r="V101">
            <v>15</v>
          </cell>
          <cell r="W101">
            <v>0</v>
          </cell>
          <cell r="X101">
            <v>0</v>
          </cell>
          <cell r="Y101">
            <v>751</v>
          </cell>
          <cell r="Z101">
            <v>297</v>
          </cell>
        </row>
        <row r="102">
          <cell r="A102">
            <v>43101</v>
          </cell>
          <cell r="B102">
            <v>101</v>
          </cell>
          <cell r="C102">
            <v>56.8</v>
          </cell>
          <cell r="D102">
            <v>124.4</v>
          </cell>
          <cell r="E102">
            <v>2.19</v>
          </cell>
          <cell r="F102">
            <v>5.9</v>
          </cell>
          <cell r="G102">
            <v>0.2</v>
          </cell>
          <cell r="H102">
            <v>0.1</v>
          </cell>
          <cell r="I102">
            <v>5.6</v>
          </cell>
          <cell r="J102">
            <v>14.5</v>
          </cell>
          <cell r="K102">
            <v>0.1</v>
          </cell>
          <cell r="L102">
            <v>0.1</v>
          </cell>
          <cell r="M102">
            <v>0</v>
          </cell>
          <cell r="N102">
            <v>0</v>
          </cell>
          <cell r="O102">
            <v>0.2</v>
          </cell>
          <cell r="P102">
            <v>1.5</v>
          </cell>
          <cell r="Q102">
            <v>0.1</v>
          </cell>
          <cell r="R102">
            <v>3.9</v>
          </cell>
          <cell r="S102">
            <v>0</v>
          </cell>
          <cell r="T102">
            <v>0</v>
          </cell>
          <cell r="U102">
            <v>1.9</v>
          </cell>
          <cell r="V102">
            <v>6.7</v>
          </cell>
          <cell r="W102">
            <v>145</v>
          </cell>
          <cell r="X102">
            <v>0</v>
          </cell>
          <cell r="Y102">
            <v>50</v>
          </cell>
          <cell r="Z102">
            <v>0</v>
          </cell>
        </row>
        <row r="103">
          <cell r="A103">
            <v>43102</v>
          </cell>
          <cell r="B103">
            <v>102</v>
          </cell>
          <cell r="C103">
            <v>0</v>
          </cell>
          <cell r="D103">
            <v>0</v>
          </cell>
          <cell r="E103">
            <v>0</v>
          </cell>
          <cell r="F103">
            <v>528.6</v>
          </cell>
          <cell r="G103">
            <v>441.8</v>
          </cell>
          <cell r="H103">
            <v>6.9</v>
          </cell>
          <cell r="I103">
            <v>79.900000000000006</v>
          </cell>
          <cell r="J103">
            <v>528.6</v>
          </cell>
          <cell r="K103">
            <v>11.1</v>
          </cell>
          <cell r="L103">
            <v>430.8</v>
          </cell>
          <cell r="M103">
            <v>3.1</v>
          </cell>
          <cell r="N103">
            <v>3.9</v>
          </cell>
          <cell r="O103">
            <v>20.7</v>
          </cell>
          <cell r="P103">
            <v>11</v>
          </cell>
          <cell r="Q103">
            <v>6.4</v>
          </cell>
          <cell r="R103">
            <v>41.8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96</v>
          </cell>
          <cell r="Z103">
            <v>142</v>
          </cell>
        </row>
        <row r="104">
          <cell r="A104">
            <v>43103</v>
          </cell>
          <cell r="B104">
            <v>103</v>
          </cell>
          <cell r="C104">
            <v>70.900000000000006</v>
          </cell>
          <cell r="D104">
            <v>94.1</v>
          </cell>
          <cell r="E104">
            <v>1.33</v>
          </cell>
          <cell r="F104">
            <v>22.2</v>
          </cell>
          <cell r="G104">
            <v>3.1</v>
          </cell>
          <cell r="H104">
            <v>0.8</v>
          </cell>
          <cell r="I104">
            <v>18.2</v>
          </cell>
          <cell r="J104">
            <v>38</v>
          </cell>
          <cell r="K104">
            <v>1.4</v>
          </cell>
          <cell r="L104">
            <v>1.8</v>
          </cell>
          <cell r="M104">
            <v>0.4</v>
          </cell>
          <cell r="N104">
            <v>0.5</v>
          </cell>
          <cell r="O104">
            <v>2.5</v>
          </cell>
          <cell r="P104">
            <v>1.3</v>
          </cell>
          <cell r="Q104">
            <v>0.8</v>
          </cell>
          <cell r="R104">
            <v>13.6</v>
          </cell>
          <cell r="S104">
            <v>0</v>
          </cell>
          <cell r="T104">
            <v>0</v>
          </cell>
          <cell r="U104">
            <v>7.4</v>
          </cell>
          <cell r="V104">
            <v>8.4</v>
          </cell>
          <cell r="W104">
            <v>0</v>
          </cell>
          <cell r="X104">
            <v>0</v>
          </cell>
          <cell r="Y104">
            <v>283</v>
          </cell>
          <cell r="Z104">
            <v>0</v>
          </cell>
        </row>
        <row r="105">
          <cell r="A105">
            <v>43104</v>
          </cell>
          <cell r="B105">
            <v>104</v>
          </cell>
          <cell r="C105">
            <v>70.3</v>
          </cell>
          <cell r="D105">
            <v>98.8</v>
          </cell>
          <cell r="E105">
            <v>1.41</v>
          </cell>
          <cell r="F105">
            <v>563.1</v>
          </cell>
          <cell r="G105">
            <v>465.2</v>
          </cell>
          <cell r="H105">
            <v>7.3</v>
          </cell>
          <cell r="I105">
            <v>90.6</v>
          </cell>
          <cell r="J105">
            <v>573.20000000000005</v>
          </cell>
          <cell r="K105">
            <v>22.2</v>
          </cell>
          <cell r="L105">
            <v>443</v>
          </cell>
          <cell r="M105">
            <v>3.2</v>
          </cell>
          <cell r="N105">
            <v>4.0999999999999996</v>
          </cell>
          <cell r="O105">
            <v>28.2</v>
          </cell>
          <cell r="P105">
            <v>11.6</v>
          </cell>
          <cell r="Q105">
            <v>6.8</v>
          </cell>
          <cell r="R105">
            <v>44</v>
          </cell>
          <cell r="S105">
            <v>0</v>
          </cell>
          <cell r="T105">
            <v>0</v>
          </cell>
          <cell r="U105">
            <v>1.9</v>
          </cell>
          <cell r="V105">
            <v>8.3000000000000007</v>
          </cell>
          <cell r="W105">
            <v>0</v>
          </cell>
          <cell r="X105">
            <v>0</v>
          </cell>
          <cell r="Y105">
            <v>617</v>
          </cell>
          <cell r="Z105">
            <v>132</v>
          </cell>
        </row>
        <row r="106">
          <cell r="A106">
            <v>43105</v>
          </cell>
          <cell r="B106">
            <v>105</v>
          </cell>
          <cell r="C106">
            <v>229.2</v>
          </cell>
          <cell r="D106">
            <v>592.9</v>
          </cell>
          <cell r="E106">
            <v>2.59</v>
          </cell>
          <cell r="F106">
            <v>102.4</v>
          </cell>
          <cell r="G106">
            <v>10</v>
          </cell>
          <cell r="H106">
            <v>4.8</v>
          </cell>
          <cell r="I106">
            <v>87.6</v>
          </cell>
          <cell r="J106">
            <v>159.30000000000001</v>
          </cell>
          <cell r="K106">
            <v>1.8</v>
          </cell>
          <cell r="L106">
            <v>8.1999999999999993</v>
          </cell>
          <cell r="M106">
            <v>0.4</v>
          </cell>
          <cell r="N106">
            <v>4.5</v>
          </cell>
          <cell r="O106">
            <v>42.9</v>
          </cell>
          <cell r="P106">
            <v>1.3</v>
          </cell>
          <cell r="Q106">
            <v>0.7</v>
          </cell>
          <cell r="R106">
            <v>42.7</v>
          </cell>
          <cell r="S106">
            <v>0</v>
          </cell>
          <cell r="T106">
            <v>0</v>
          </cell>
          <cell r="U106">
            <v>29.7</v>
          </cell>
          <cell r="V106">
            <v>27.2</v>
          </cell>
          <cell r="W106">
            <v>23</v>
          </cell>
          <cell r="X106">
            <v>0</v>
          </cell>
          <cell r="Y106">
            <v>0</v>
          </cell>
          <cell r="Z106">
            <v>0</v>
          </cell>
        </row>
        <row r="107">
          <cell r="A107">
            <v>43106</v>
          </cell>
          <cell r="B107">
            <v>106</v>
          </cell>
          <cell r="C107">
            <v>113.2</v>
          </cell>
          <cell r="D107">
            <v>291.7</v>
          </cell>
          <cell r="E107">
            <v>2.58</v>
          </cell>
          <cell r="F107">
            <v>42.6</v>
          </cell>
          <cell r="G107">
            <v>0.5</v>
          </cell>
          <cell r="H107">
            <v>3.8</v>
          </cell>
          <cell r="I107">
            <v>38.299999999999997</v>
          </cell>
          <cell r="J107">
            <v>59.7</v>
          </cell>
          <cell r="K107">
            <v>0.2</v>
          </cell>
          <cell r="L107">
            <v>0.3</v>
          </cell>
          <cell r="M107">
            <v>0.1</v>
          </cell>
          <cell r="N107">
            <v>3.7</v>
          </cell>
          <cell r="O107">
            <v>0.4</v>
          </cell>
          <cell r="P107">
            <v>0.2</v>
          </cell>
          <cell r="Q107">
            <v>0.9</v>
          </cell>
          <cell r="R107">
            <v>36.700000000000003</v>
          </cell>
          <cell r="S107">
            <v>0</v>
          </cell>
          <cell r="T107">
            <v>0</v>
          </cell>
          <cell r="U107">
            <v>3.7</v>
          </cell>
          <cell r="V107">
            <v>13.4</v>
          </cell>
          <cell r="W107">
            <v>17</v>
          </cell>
          <cell r="X107">
            <v>0</v>
          </cell>
          <cell r="Y107">
            <v>0</v>
          </cell>
          <cell r="Z107">
            <v>0</v>
          </cell>
        </row>
        <row r="108">
          <cell r="A108">
            <v>43107</v>
          </cell>
          <cell r="B108">
            <v>107</v>
          </cell>
          <cell r="C108">
            <v>1</v>
          </cell>
          <cell r="D108">
            <v>2.2000000000000002</v>
          </cell>
          <cell r="E108">
            <v>2.2200000000000002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0.1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0.1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</row>
        <row r="109">
          <cell r="A109">
            <v>43108</v>
          </cell>
          <cell r="B109">
            <v>108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</row>
        <row r="110">
          <cell r="A110">
            <v>43109</v>
          </cell>
          <cell r="B110">
            <v>109</v>
          </cell>
          <cell r="C110">
            <v>248.2</v>
          </cell>
          <cell r="D110">
            <v>445.3</v>
          </cell>
          <cell r="E110">
            <v>1.79</v>
          </cell>
          <cell r="F110">
            <v>194.4</v>
          </cell>
          <cell r="G110">
            <v>1.7</v>
          </cell>
          <cell r="H110">
            <v>8.9</v>
          </cell>
          <cell r="I110">
            <v>183.8</v>
          </cell>
          <cell r="J110">
            <v>273.8</v>
          </cell>
          <cell r="K110">
            <v>0.8</v>
          </cell>
          <cell r="L110">
            <v>0.9</v>
          </cell>
          <cell r="M110">
            <v>0.2</v>
          </cell>
          <cell r="N110">
            <v>8.6999999999999993</v>
          </cell>
          <cell r="O110">
            <v>83.4</v>
          </cell>
          <cell r="P110">
            <v>0.7</v>
          </cell>
          <cell r="Q110">
            <v>4.5</v>
          </cell>
          <cell r="R110">
            <v>95.1</v>
          </cell>
          <cell r="S110">
            <v>0</v>
          </cell>
          <cell r="T110">
            <v>0</v>
          </cell>
          <cell r="U110">
            <v>50.1</v>
          </cell>
          <cell r="V110">
            <v>29.4</v>
          </cell>
          <cell r="W110">
            <v>253</v>
          </cell>
          <cell r="X110">
            <v>0</v>
          </cell>
          <cell r="Y110">
            <v>0</v>
          </cell>
          <cell r="Z110">
            <v>0</v>
          </cell>
        </row>
        <row r="111">
          <cell r="A111">
            <v>43110</v>
          </cell>
          <cell r="B111">
            <v>110</v>
          </cell>
          <cell r="C111">
            <v>155.19999999999999</v>
          </cell>
          <cell r="D111">
            <v>337.8</v>
          </cell>
          <cell r="E111">
            <v>2.1800000000000002</v>
          </cell>
          <cell r="F111">
            <v>14.7</v>
          </cell>
          <cell r="G111">
            <v>4.8</v>
          </cell>
          <cell r="H111">
            <v>1.2</v>
          </cell>
          <cell r="I111">
            <v>8.8000000000000007</v>
          </cell>
          <cell r="J111">
            <v>88.8</v>
          </cell>
          <cell r="K111">
            <v>4.0999999999999996</v>
          </cell>
          <cell r="L111">
            <v>0.6</v>
          </cell>
          <cell r="M111">
            <v>0.1</v>
          </cell>
          <cell r="N111">
            <v>1</v>
          </cell>
          <cell r="O111">
            <v>3.1</v>
          </cell>
          <cell r="P111">
            <v>0.5</v>
          </cell>
          <cell r="Q111">
            <v>0.3</v>
          </cell>
          <cell r="R111">
            <v>4.9000000000000004</v>
          </cell>
          <cell r="S111">
            <v>0</v>
          </cell>
          <cell r="T111">
            <v>0</v>
          </cell>
          <cell r="U111">
            <v>55.6</v>
          </cell>
          <cell r="V111">
            <v>18.399999999999999</v>
          </cell>
          <cell r="W111">
            <v>210</v>
          </cell>
          <cell r="X111">
            <v>0</v>
          </cell>
          <cell r="Y111">
            <v>0</v>
          </cell>
          <cell r="Z111">
            <v>0</v>
          </cell>
        </row>
        <row r="112">
          <cell r="A112">
            <v>43111</v>
          </cell>
          <cell r="B112">
            <v>111</v>
          </cell>
          <cell r="C112">
            <v>52.1</v>
          </cell>
          <cell r="D112">
            <v>166.7</v>
          </cell>
          <cell r="E112">
            <v>3.2</v>
          </cell>
          <cell r="F112">
            <v>1.7</v>
          </cell>
          <cell r="G112">
            <v>0</v>
          </cell>
          <cell r="H112">
            <v>0</v>
          </cell>
          <cell r="I112">
            <v>1.7</v>
          </cell>
          <cell r="J112">
            <v>28.3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1.7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20.399999999999999</v>
          </cell>
          <cell r="V112">
            <v>6.2</v>
          </cell>
          <cell r="W112">
            <v>65</v>
          </cell>
          <cell r="X112">
            <v>0</v>
          </cell>
          <cell r="Y112">
            <v>0</v>
          </cell>
          <cell r="Z112">
            <v>0</v>
          </cell>
        </row>
        <row r="113">
          <cell r="A113">
            <v>43112</v>
          </cell>
          <cell r="B113">
            <v>112</v>
          </cell>
          <cell r="C113">
            <v>93.7</v>
          </cell>
          <cell r="D113">
            <v>270.39999999999998</v>
          </cell>
          <cell r="E113">
            <v>2.89</v>
          </cell>
          <cell r="F113">
            <v>108.1</v>
          </cell>
          <cell r="G113">
            <v>19.3</v>
          </cell>
          <cell r="H113">
            <v>5.3</v>
          </cell>
          <cell r="I113">
            <v>83.5</v>
          </cell>
          <cell r="J113">
            <v>121</v>
          </cell>
          <cell r="K113">
            <v>8.5</v>
          </cell>
          <cell r="L113">
            <v>10.8</v>
          </cell>
          <cell r="M113">
            <v>2.2999999999999998</v>
          </cell>
          <cell r="N113">
            <v>3</v>
          </cell>
          <cell r="O113">
            <v>16</v>
          </cell>
          <cell r="P113">
            <v>8.3000000000000007</v>
          </cell>
          <cell r="Q113">
            <v>6</v>
          </cell>
          <cell r="R113">
            <v>53.1</v>
          </cell>
          <cell r="S113">
            <v>0</v>
          </cell>
          <cell r="T113">
            <v>0</v>
          </cell>
          <cell r="U113">
            <v>1.9</v>
          </cell>
          <cell r="V113">
            <v>11.1</v>
          </cell>
          <cell r="W113">
            <v>23</v>
          </cell>
          <cell r="X113">
            <v>0</v>
          </cell>
          <cell r="Y113">
            <v>0</v>
          </cell>
          <cell r="Z113">
            <v>0</v>
          </cell>
        </row>
        <row r="114">
          <cell r="A114">
            <v>43113</v>
          </cell>
          <cell r="B114">
            <v>113</v>
          </cell>
          <cell r="C114">
            <v>27.7</v>
          </cell>
          <cell r="D114">
            <v>88.7</v>
          </cell>
          <cell r="E114">
            <v>3.21</v>
          </cell>
          <cell r="F114">
            <v>92</v>
          </cell>
          <cell r="G114">
            <v>1.8</v>
          </cell>
          <cell r="H114">
            <v>0.5</v>
          </cell>
          <cell r="I114">
            <v>89.7</v>
          </cell>
          <cell r="J114">
            <v>102.1</v>
          </cell>
          <cell r="K114">
            <v>0.8</v>
          </cell>
          <cell r="L114">
            <v>1</v>
          </cell>
          <cell r="M114">
            <v>0.2</v>
          </cell>
          <cell r="N114">
            <v>0.3</v>
          </cell>
          <cell r="O114">
            <v>1.8</v>
          </cell>
          <cell r="P114">
            <v>84.5</v>
          </cell>
          <cell r="Q114">
            <v>0.5</v>
          </cell>
          <cell r="R114">
            <v>2.9</v>
          </cell>
          <cell r="S114">
            <v>0</v>
          </cell>
          <cell r="T114">
            <v>5</v>
          </cell>
          <cell r="U114">
            <v>1.9</v>
          </cell>
          <cell r="V114">
            <v>3.3</v>
          </cell>
          <cell r="W114">
            <v>2</v>
          </cell>
          <cell r="X114">
            <v>0</v>
          </cell>
          <cell r="Y114">
            <v>0</v>
          </cell>
          <cell r="Z114">
            <v>0</v>
          </cell>
        </row>
        <row r="115">
          <cell r="A115">
            <v>43114</v>
          </cell>
          <cell r="B115">
            <v>114</v>
          </cell>
          <cell r="C115">
            <v>184.1</v>
          </cell>
          <cell r="D115">
            <v>560.79999999999995</v>
          </cell>
          <cell r="E115">
            <v>3.05</v>
          </cell>
          <cell r="F115">
            <v>36.799999999999997</v>
          </cell>
          <cell r="G115">
            <v>0.3</v>
          </cell>
          <cell r="H115">
            <v>0.1</v>
          </cell>
          <cell r="I115">
            <v>36.4</v>
          </cell>
          <cell r="J115">
            <v>62.3</v>
          </cell>
          <cell r="K115">
            <v>0.2</v>
          </cell>
          <cell r="L115">
            <v>0.2</v>
          </cell>
          <cell r="M115">
            <v>0</v>
          </cell>
          <cell r="N115">
            <v>0.1</v>
          </cell>
          <cell r="O115">
            <v>8.9</v>
          </cell>
          <cell r="P115">
            <v>0.1</v>
          </cell>
          <cell r="Q115">
            <v>0.1</v>
          </cell>
          <cell r="R115">
            <v>27.2</v>
          </cell>
          <cell r="S115">
            <v>0</v>
          </cell>
          <cell r="T115">
            <v>0</v>
          </cell>
          <cell r="U115">
            <v>3.7</v>
          </cell>
          <cell r="V115">
            <v>21.8</v>
          </cell>
          <cell r="W115">
            <v>20</v>
          </cell>
          <cell r="X115">
            <v>0</v>
          </cell>
          <cell r="Y115">
            <v>0</v>
          </cell>
          <cell r="Z115">
            <v>0</v>
          </cell>
        </row>
        <row r="116">
          <cell r="A116">
            <v>43115</v>
          </cell>
          <cell r="B116">
            <v>115</v>
          </cell>
          <cell r="C116">
            <v>0</v>
          </cell>
          <cell r="D116">
            <v>0</v>
          </cell>
          <cell r="E116">
            <v>0</v>
          </cell>
          <cell r="F116">
            <v>561.9</v>
          </cell>
          <cell r="G116">
            <v>117</v>
          </cell>
          <cell r="H116">
            <v>106.8</v>
          </cell>
          <cell r="I116">
            <v>338.1</v>
          </cell>
          <cell r="J116">
            <v>567.4</v>
          </cell>
          <cell r="K116">
            <v>47.1</v>
          </cell>
          <cell r="L116">
            <v>69.900000000000006</v>
          </cell>
          <cell r="M116">
            <v>47.3</v>
          </cell>
          <cell r="N116">
            <v>59.5</v>
          </cell>
          <cell r="O116">
            <v>123</v>
          </cell>
          <cell r="P116">
            <v>48.5</v>
          </cell>
          <cell r="Q116">
            <v>22</v>
          </cell>
          <cell r="R116">
            <v>144.69999999999999</v>
          </cell>
          <cell r="S116">
            <v>0</v>
          </cell>
          <cell r="T116">
            <v>0</v>
          </cell>
          <cell r="U116">
            <v>5.6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</row>
        <row r="117">
          <cell r="A117">
            <v>43116</v>
          </cell>
          <cell r="B117">
            <v>116</v>
          </cell>
          <cell r="C117">
            <v>86.3</v>
          </cell>
          <cell r="D117">
            <v>306.39999999999998</v>
          </cell>
          <cell r="E117">
            <v>3.55</v>
          </cell>
          <cell r="F117">
            <v>24.6</v>
          </cell>
          <cell r="G117">
            <v>0.8</v>
          </cell>
          <cell r="H117">
            <v>0.1</v>
          </cell>
          <cell r="I117">
            <v>23.8</v>
          </cell>
          <cell r="J117">
            <v>36.700000000000003</v>
          </cell>
          <cell r="K117">
            <v>0.6</v>
          </cell>
          <cell r="L117">
            <v>0.2</v>
          </cell>
          <cell r="M117">
            <v>0</v>
          </cell>
          <cell r="N117">
            <v>0</v>
          </cell>
          <cell r="O117">
            <v>16.399999999999999</v>
          </cell>
          <cell r="P117">
            <v>0.1</v>
          </cell>
          <cell r="Q117">
            <v>0.1</v>
          </cell>
          <cell r="R117">
            <v>7.2</v>
          </cell>
          <cell r="S117">
            <v>0</v>
          </cell>
          <cell r="T117">
            <v>0</v>
          </cell>
          <cell r="U117">
            <v>1.9</v>
          </cell>
          <cell r="V117">
            <v>10.199999999999999</v>
          </cell>
          <cell r="W117">
            <v>6</v>
          </cell>
          <cell r="X117">
            <v>0</v>
          </cell>
          <cell r="Y117">
            <v>0</v>
          </cell>
          <cell r="Z117">
            <v>0</v>
          </cell>
        </row>
        <row r="118">
          <cell r="A118">
            <v>43117</v>
          </cell>
          <cell r="B118">
            <v>117</v>
          </cell>
          <cell r="C118">
            <v>0</v>
          </cell>
          <cell r="D118">
            <v>0</v>
          </cell>
          <cell r="E118">
            <v>0</v>
          </cell>
          <cell r="F118">
            <v>50</v>
          </cell>
          <cell r="G118">
            <v>11.3</v>
          </cell>
          <cell r="H118">
            <v>3.1</v>
          </cell>
          <cell r="I118">
            <v>35.6</v>
          </cell>
          <cell r="J118">
            <v>50</v>
          </cell>
          <cell r="K118">
            <v>5</v>
          </cell>
          <cell r="L118">
            <v>6.3</v>
          </cell>
          <cell r="M118">
            <v>1.4</v>
          </cell>
          <cell r="N118">
            <v>1.7</v>
          </cell>
          <cell r="O118">
            <v>9.6</v>
          </cell>
          <cell r="P118">
            <v>4.9000000000000004</v>
          </cell>
          <cell r="Q118">
            <v>3</v>
          </cell>
          <cell r="R118">
            <v>18.100000000000001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</row>
        <row r="119">
          <cell r="A119">
            <v>43118</v>
          </cell>
          <cell r="B119">
            <v>118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</row>
        <row r="120">
          <cell r="A120">
            <v>43119</v>
          </cell>
          <cell r="B120">
            <v>119</v>
          </cell>
          <cell r="C120">
            <v>41.1</v>
          </cell>
          <cell r="D120">
            <v>81.8</v>
          </cell>
          <cell r="E120">
            <v>1.99</v>
          </cell>
          <cell r="F120">
            <v>354.5</v>
          </cell>
          <cell r="G120">
            <v>21</v>
          </cell>
          <cell r="H120">
            <v>5.6</v>
          </cell>
          <cell r="I120">
            <v>327.9</v>
          </cell>
          <cell r="J120">
            <v>381.7</v>
          </cell>
          <cell r="K120">
            <v>9.3000000000000007</v>
          </cell>
          <cell r="L120">
            <v>11.7</v>
          </cell>
          <cell r="M120">
            <v>2.5</v>
          </cell>
          <cell r="N120">
            <v>3.1</v>
          </cell>
          <cell r="O120">
            <v>17</v>
          </cell>
          <cell r="P120">
            <v>9</v>
          </cell>
          <cell r="Q120">
            <v>5.3</v>
          </cell>
          <cell r="R120">
            <v>296.60000000000002</v>
          </cell>
          <cell r="S120">
            <v>0</v>
          </cell>
          <cell r="T120">
            <v>0</v>
          </cell>
          <cell r="U120">
            <v>22.2</v>
          </cell>
          <cell r="V120">
            <v>4.9000000000000004</v>
          </cell>
          <cell r="W120">
            <v>32</v>
          </cell>
          <cell r="X120">
            <v>0</v>
          </cell>
          <cell r="Y120">
            <v>0</v>
          </cell>
          <cell r="Z120">
            <v>0</v>
          </cell>
        </row>
        <row r="121">
          <cell r="A121">
            <v>43120</v>
          </cell>
          <cell r="B121">
            <v>120</v>
          </cell>
          <cell r="C121">
            <v>44.9</v>
          </cell>
          <cell r="D121">
            <v>53.9</v>
          </cell>
          <cell r="E121">
            <v>1.2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16.399999999999999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11.1</v>
          </cell>
          <cell r="V121">
            <v>5.3</v>
          </cell>
          <cell r="W121">
            <v>123</v>
          </cell>
          <cell r="X121">
            <v>0</v>
          </cell>
          <cell r="Y121">
            <v>0</v>
          </cell>
          <cell r="Z121">
            <v>0</v>
          </cell>
        </row>
        <row r="122">
          <cell r="A122">
            <v>43121</v>
          </cell>
          <cell r="B122">
            <v>121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</row>
        <row r="123">
          <cell r="A123">
            <v>43122</v>
          </cell>
          <cell r="B123">
            <v>122</v>
          </cell>
          <cell r="C123">
            <v>4.0999999999999996</v>
          </cell>
          <cell r="D123">
            <v>8.6999999999999993</v>
          </cell>
          <cell r="E123">
            <v>2.13</v>
          </cell>
          <cell r="F123">
            <v>1000.5</v>
          </cell>
          <cell r="G123">
            <v>69.7</v>
          </cell>
          <cell r="H123">
            <v>18.8</v>
          </cell>
          <cell r="I123">
            <v>912.1</v>
          </cell>
          <cell r="J123">
            <v>1004.7</v>
          </cell>
          <cell r="K123">
            <v>30.3</v>
          </cell>
          <cell r="L123">
            <v>39.4</v>
          </cell>
          <cell r="M123">
            <v>8.3000000000000007</v>
          </cell>
          <cell r="N123">
            <v>10.4</v>
          </cell>
          <cell r="O123">
            <v>88.6</v>
          </cell>
          <cell r="P123">
            <v>29.8</v>
          </cell>
          <cell r="Q123">
            <v>549.5</v>
          </cell>
          <cell r="R123">
            <v>244.2</v>
          </cell>
          <cell r="S123">
            <v>0</v>
          </cell>
          <cell r="T123">
            <v>0</v>
          </cell>
          <cell r="U123">
            <v>3.7</v>
          </cell>
          <cell r="V123">
            <v>0.5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</row>
        <row r="124">
          <cell r="A124">
            <v>43123</v>
          </cell>
          <cell r="B124">
            <v>123</v>
          </cell>
          <cell r="C124">
            <v>0</v>
          </cell>
          <cell r="D124">
            <v>0</v>
          </cell>
          <cell r="E124">
            <v>0</v>
          </cell>
          <cell r="F124">
            <v>388.5</v>
          </cell>
          <cell r="G124">
            <v>50.5</v>
          </cell>
          <cell r="H124">
            <v>106.5</v>
          </cell>
          <cell r="I124">
            <v>231.6</v>
          </cell>
          <cell r="J124">
            <v>392.2</v>
          </cell>
          <cell r="K124">
            <v>22.3</v>
          </cell>
          <cell r="L124">
            <v>28.2</v>
          </cell>
          <cell r="M124">
            <v>83.5</v>
          </cell>
          <cell r="N124">
            <v>23</v>
          </cell>
          <cell r="O124">
            <v>49.3</v>
          </cell>
          <cell r="P124">
            <v>21.6</v>
          </cell>
          <cell r="Q124">
            <v>12.7</v>
          </cell>
          <cell r="R124">
            <v>147.9</v>
          </cell>
          <cell r="S124">
            <v>0</v>
          </cell>
          <cell r="T124">
            <v>0</v>
          </cell>
          <cell r="U124">
            <v>3.7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</row>
        <row r="125">
          <cell r="A125">
            <v>43124</v>
          </cell>
          <cell r="B125">
            <v>124</v>
          </cell>
          <cell r="C125">
            <v>10.5</v>
          </cell>
          <cell r="D125">
            <v>23.2</v>
          </cell>
          <cell r="E125">
            <v>2.21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17.899999999999999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16.7</v>
          </cell>
          <cell r="V125">
            <v>1.2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</row>
        <row r="126">
          <cell r="A126">
            <v>43125</v>
          </cell>
          <cell r="B126">
            <v>125</v>
          </cell>
          <cell r="C126">
            <v>315</v>
          </cell>
          <cell r="D126">
            <v>712</v>
          </cell>
          <cell r="E126">
            <v>2.26031746</v>
          </cell>
          <cell r="F126">
            <v>133.80000000000001</v>
          </cell>
          <cell r="G126">
            <v>30.1</v>
          </cell>
          <cell r="H126">
            <v>8.1999999999999993</v>
          </cell>
          <cell r="I126">
            <v>95.4</v>
          </cell>
          <cell r="J126">
            <v>145.69999999999999</v>
          </cell>
          <cell r="K126">
            <v>12.8</v>
          </cell>
          <cell r="L126">
            <v>17.3</v>
          </cell>
          <cell r="M126">
            <v>3.6</v>
          </cell>
          <cell r="N126">
            <v>4.5999999999999996</v>
          </cell>
          <cell r="O126">
            <v>25.6</v>
          </cell>
          <cell r="P126">
            <v>12.9</v>
          </cell>
          <cell r="Q126">
            <v>7.8</v>
          </cell>
          <cell r="R126">
            <v>49.1</v>
          </cell>
          <cell r="S126">
            <v>0</v>
          </cell>
          <cell r="T126">
            <v>0</v>
          </cell>
          <cell r="U126">
            <v>3.7</v>
          </cell>
          <cell r="V126">
            <v>8.1999999999999993</v>
          </cell>
          <cell r="W126">
            <v>0</v>
          </cell>
          <cell r="X126">
            <v>0</v>
          </cell>
          <cell r="Y126">
            <v>100</v>
          </cell>
          <cell r="Z126">
            <v>0</v>
          </cell>
        </row>
        <row r="127">
          <cell r="A127">
            <v>43126</v>
          </cell>
          <cell r="B127">
            <v>126</v>
          </cell>
          <cell r="C127">
            <v>522</v>
          </cell>
          <cell r="D127">
            <v>1357</v>
          </cell>
          <cell r="E127">
            <v>2.6</v>
          </cell>
          <cell r="F127">
            <v>170</v>
          </cell>
          <cell r="G127">
            <v>0</v>
          </cell>
          <cell r="H127">
            <v>0</v>
          </cell>
          <cell r="I127">
            <v>170</v>
          </cell>
          <cell r="J127">
            <v>170.7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170</v>
          </cell>
          <cell r="S127">
            <v>0</v>
          </cell>
          <cell r="T127">
            <v>0</v>
          </cell>
          <cell r="U127">
            <v>0.6</v>
          </cell>
          <cell r="V127">
            <v>0.1</v>
          </cell>
          <cell r="W127">
            <v>117</v>
          </cell>
          <cell r="X127">
            <v>0</v>
          </cell>
          <cell r="Y127">
            <v>219</v>
          </cell>
          <cell r="Z127">
            <v>300</v>
          </cell>
        </row>
        <row r="128">
          <cell r="A128">
            <v>43127</v>
          </cell>
          <cell r="B128">
            <v>127</v>
          </cell>
          <cell r="C128">
            <v>218.5</v>
          </cell>
          <cell r="D128">
            <v>747</v>
          </cell>
          <cell r="E128">
            <v>3.418764302</v>
          </cell>
          <cell r="F128">
            <v>74</v>
          </cell>
          <cell r="G128">
            <v>16.600000000000001</v>
          </cell>
          <cell r="H128">
            <v>5.3</v>
          </cell>
          <cell r="I128">
            <v>52</v>
          </cell>
          <cell r="J128">
            <v>86.7</v>
          </cell>
          <cell r="K128">
            <v>7</v>
          </cell>
          <cell r="L128">
            <v>9.6</v>
          </cell>
          <cell r="M128">
            <v>2</v>
          </cell>
          <cell r="N128">
            <v>3.4</v>
          </cell>
          <cell r="O128">
            <v>13.7</v>
          </cell>
          <cell r="P128">
            <v>7.1</v>
          </cell>
          <cell r="Q128">
            <v>4.2</v>
          </cell>
          <cell r="R128">
            <v>27</v>
          </cell>
          <cell r="S128">
            <v>0</v>
          </cell>
          <cell r="T128">
            <v>0</v>
          </cell>
          <cell r="U128">
            <v>3.7</v>
          </cell>
          <cell r="V128">
            <v>9</v>
          </cell>
          <cell r="W128">
            <v>33</v>
          </cell>
          <cell r="X128">
            <v>0</v>
          </cell>
          <cell r="Y128">
            <v>70</v>
          </cell>
          <cell r="Z128">
            <v>0</v>
          </cell>
        </row>
        <row r="129">
          <cell r="A129">
            <v>43128</v>
          </cell>
          <cell r="B129">
            <v>128</v>
          </cell>
          <cell r="C129">
            <v>138</v>
          </cell>
          <cell r="D129">
            <v>366</v>
          </cell>
          <cell r="E129">
            <v>2.6521739129999999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137</v>
          </cell>
          <cell r="X129">
            <v>0</v>
          </cell>
          <cell r="Y129">
            <v>0</v>
          </cell>
          <cell r="Z129">
            <v>0</v>
          </cell>
        </row>
        <row r="130">
          <cell r="A130">
            <v>43129</v>
          </cell>
          <cell r="B130">
            <v>129</v>
          </cell>
          <cell r="C130">
            <v>3.6</v>
          </cell>
          <cell r="D130">
            <v>12</v>
          </cell>
          <cell r="E130">
            <v>3.29</v>
          </cell>
          <cell r="F130">
            <v>64.5</v>
          </cell>
          <cell r="G130">
            <v>0.7</v>
          </cell>
          <cell r="H130">
            <v>0.9</v>
          </cell>
          <cell r="I130">
            <v>62.9</v>
          </cell>
          <cell r="J130">
            <v>255.4</v>
          </cell>
          <cell r="K130">
            <v>0.3</v>
          </cell>
          <cell r="L130">
            <v>0.4</v>
          </cell>
          <cell r="M130">
            <v>0.1</v>
          </cell>
          <cell r="N130">
            <v>0.8</v>
          </cell>
          <cell r="O130">
            <v>0.6</v>
          </cell>
          <cell r="P130">
            <v>0.3</v>
          </cell>
          <cell r="Q130">
            <v>0.2</v>
          </cell>
          <cell r="R130">
            <v>61.9</v>
          </cell>
          <cell r="S130">
            <v>0</v>
          </cell>
          <cell r="T130">
            <v>190.6</v>
          </cell>
          <cell r="U130">
            <v>0</v>
          </cell>
          <cell r="V130">
            <v>0.4</v>
          </cell>
          <cell r="W130">
            <v>6</v>
          </cell>
          <cell r="X130">
            <v>0</v>
          </cell>
          <cell r="Y130">
            <v>0</v>
          </cell>
          <cell r="Z130">
            <v>0</v>
          </cell>
        </row>
        <row r="131">
          <cell r="A131">
            <v>43130</v>
          </cell>
          <cell r="B131">
            <v>130</v>
          </cell>
          <cell r="C131">
            <v>19.7</v>
          </cell>
          <cell r="D131">
            <v>76.900000000000006</v>
          </cell>
          <cell r="E131">
            <v>3.91</v>
          </cell>
          <cell r="F131">
            <v>23.3</v>
          </cell>
          <cell r="G131">
            <v>4.3</v>
          </cell>
          <cell r="H131">
            <v>5.4</v>
          </cell>
          <cell r="I131">
            <v>13.5</v>
          </cell>
          <cell r="J131">
            <v>50.8</v>
          </cell>
          <cell r="K131">
            <v>1.9</v>
          </cell>
          <cell r="L131">
            <v>2.4</v>
          </cell>
          <cell r="M131">
            <v>0.5</v>
          </cell>
          <cell r="N131">
            <v>4.9000000000000004</v>
          </cell>
          <cell r="O131">
            <v>3.6</v>
          </cell>
          <cell r="P131">
            <v>1.9</v>
          </cell>
          <cell r="Q131">
            <v>1.1000000000000001</v>
          </cell>
          <cell r="R131">
            <v>7</v>
          </cell>
          <cell r="S131">
            <v>23.4</v>
          </cell>
          <cell r="T131">
            <v>0</v>
          </cell>
          <cell r="U131">
            <v>1.9</v>
          </cell>
          <cell r="V131">
            <v>2.2999999999999998</v>
          </cell>
          <cell r="W131">
            <v>12</v>
          </cell>
          <cell r="X131">
            <v>0</v>
          </cell>
          <cell r="Y131">
            <v>0</v>
          </cell>
          <cell r="Z131">
            <v>0</v>
          </cell>
        </row>
        <row r="132">
          <cell r="A132">
            <v>43131</v>
          </cell>
          <cell r="B132">
            <v>131</v>
          </cell>
          <cell r="C132">
            <v>61.8</v>
          </cell>
          <cell r="D132">
            <v>121.9</v>
          </cell>
          <cell r="E132">
            <v>1.97</v>
          </cell>
          <cell r="F132">
            <v>14.6</v>
          </cell>
          <cell r="G132">
            <v>0.1</v>
          </cell>
          <cell r="H132">
            <v>11.1</v>
          </cell>
          <cell r="I132">
            <v>3.4</v>
          </cell>
          <cell r="J132">
            <v>27.5</v>
          </cell>
          <cell r="K132">
            <v>0.1</v>
          </cell>
          <cell r="L132">
            <v>0.1</v>
          </cell>
          <cell r="M132">
            <v>4.5</v>
          </cell>
          <cell r="N132">
            <v>6.6</v>
          </cell>
          <cell r="O132">
            <v>0.1</v>
          </cell>
          <cell r="P132">
            <v>0.1</v>
          </cell>
          <cell r="Q132">
            <v>0</v>
          </cell>
          <cell r="R132">
            <v>3.2</v>
          </cell>
          <cell r="S132">
            <v>0</v>
          </cell>
          <cell r="T132">
            <v>0</v>
          </cell>
          <cell r="U132">
            <v>5.6</v>
          </cell>
          <cell r="V132">
            <v>7.3</v>
          </cell>
          <cell r="W132">
            <v>34</v>
          </cell>
          <cell r="X132">
            <v>0</v>
          </cell>
          <cell r="Y132">
            <v>0</v>
          </cell>
          <cell r="Z132">
            <v>0</v>
          </cell>
        </row>
        <row r="133">
          <cell r="A133">
            <v>43132</v>
          </cell>
          <cell r="B133">
            <v>132</v>
          </cell>
          <cell r="C133">
            <v>39.700000000000003</v>
          </cell>
          <cell r="D133">
            <v>64.900000000000006</v>
          </cell>
          <cell r="E133">
            <v>1.63</v>
          </cell>
          <cell r="F133">
            <v>36.799999999999997</v>
          </cell>
          <cell r="G133">
            <v>5.2</v>
          </cell>
          <cell r="H133">
            <v>1.4</v>
          </cell>
          <cell r="I133">
            <v>30.2</v>
          </cell>
          <cell r="J133">
            <v>90.2</v>
          </cell>
          <cell r="K133">
            <v>2.2999999999999998</v>
          </cell>
          <cell r="L133">
            <v>2.9</v>
          </cell>
          <cell r="M133">
            <v>0.6</v>
          </cell>
          <cell r="N133">
            <v>0.8</v>
          </cell>
          <cell r="O133">
            <v>18.3</v>
          </cell>
          <cell r="P133">
            <v>2.2000000000000002</v>
          </cell>
          <cell r="Q133">
            <v>1.3</v>
          </cell>
          <cell r="R133">
            <v>8.4</v>
          </cell>
          <cell r="S133">
            <v>46.8</v>
          </cell>
          <cell r="T133">
            <v>0</v>
          </cell>
          <cell r="U133">
            <v>1.9</v>
          </cell>
          <cell r="V133">
            <v>4.7</v>
          </cell>
          <cell r="W133">
            <v>18</v>
          </cell>
          <cell r="X133">
            <v>0</v>
          </cell>
          <cell r="Y133">
            <v>0</v>
          </cell>
          <cell r="Z133">
            <v>0</v>
          </cell>
        </row>
        <row r="134">
          <cell r="A134">
            <v>43133</v>
          </cell>
          <cell r="B134">
            <v>133</v>
          </cell>
          <cell r="C134">
            <v>71.2</v>
          </cell>
          <cell r="D134">
            <v>169.6</v>
          </cell>
          <cell r="E134">
            <v>2.38</v>
          </cell>
          <cell r="F134">
            <v>2.7</v>
          </cell>
          <cell r="G134">
            <v>0.6</v>
          </cell>
          <cell r="H134">
            <v>0.2</v>
          </cell>
          <cell r="I134">
            <v>2</v>
          </cell>
          <cell r="J134">
            <v>61.6</v>
          </cell>
          <cell r="K134">
            <v>0.3</v>
          </cell>
          <cell r="L134">
            <v>0.3</v>
          </cell>
          <cell r="M134">
            <v>0.1</v>
          </cell>
          <cell r="N134">
            <v>0.1</v>
          </cell>
          <cell r="O134">
            <v>0.5</v>
          </cell>
          <cell r="P134">
            <v>0.3</v>
          </cell>
          <cell r="Q134">
            <v>0.2</v>
          </cell>
          <cell r="R134">
            <v>1</v>
          </cell>
          <cell r="S134">
            <v>46.8</v>
          </cell>
          <cell r="T134">
            <v>0</v>
          </cell>
          <cell r="U134">
            <v>3.7</v>
          </cell>
          <cell r="V134">
            <v>8.4</v>
          </cell>
          <cell r="W134">
            <v>27</v>
          </cell>
          <cell r="X134">
            <v>0</v>
          </cell>
          <cell r="Y134">
            <v>0</v>
          </cell>
          <cell r="Z134">
            <v>0</v>
          </cell>
        </row>
        <row r="135">
          <cell r="A135">
            <v>43134</v>
          </cell>
          <cell r="B135">
            <v>134</v>
          </cell>
          <cell r="C135">
            <v>135.19999999999999</v>
          </cell>
          <cell r="D135">
            <v>236.2</v>
          </cell>
          <cell r="E135">
            <v>1.75</v>
          </cell>
          <cell r="F135">
            <v>32.1</v>
          </cell>
          <cell r="G135">
            <v>0.6</v>
          </cell>
          <cell r="H135">
            <v>0.2</v>
          </cell>
          <cell r="I135">
            <v>31.4</v>
          </cell>
          <cell r="J135">
            <v>137.1</v>
          </cell>
          <cell r="K135">
            <v>0.3</v>
          </cell>
          <cell r="L135">
            <v>0.3</v>
          </cell>
          <cell r="M135">
            <v>0.1</v>
          </cell>
          <cell r="N135">
            <v>0.1</v>
          </cell>
          <cell r="O135">
            <v>0.5</v>
          </cell>
          <cell r="P135">
            <v>0.3</v>
          </cell>
          <cell r="Q135">
            <v>3.3</v>
          </cell>
          <cell r="R135">
            <v>27.4</v>
          </cell>
          <cell r="S135">
            <v>0</v>
          </cell>
          <cell r="T135">
            <v>0</v>
          </cell>
          <cell r="U135">
            <v>89</v>
          </cell>
          <cell r="V135">
            <v>16</v>
          </cell>
          <cell r="W135">
            <v>40</v>
          </cell>
          <cell r="X135">
            <v>0</v>
          </cell>
          <cell r="Y135">
            <v>0</v>
          </cell>
          <cell r="Z135">
            <v>0</v>
          </cell>
        </row>
        <row r="136">
          <cell r="A136">
            <v>43135</v>
          </cell>
          <cell r="B136">
            <v>135</v>
          </cell>
          <cell r="C136">
            <v>993.8</v>
          </cell>
          <cell r="D136">
            <v>1868.6</v>
          </cell>
          <cell r="E136">
            <v>1.88</v>
          </cell>
          <cell r="F136">
            <v>287.60000000000002</v>
          </cell>
          <cell r="G136">
            <v>87.2</v>
          </cell>
          <cell r="H136">
            <v>14.5</v>
          </cell>
          <cell r="I136">
            <v>185.9</v>
          </cell>
          <cell r="J136">
            <v>733.6</v>
          </cell>
          <cell r="K136">
            <v>18.8</v>
          </cell>
          <cell r="L136">
            <v>68.400000000000006</v>
          </cell>
          <cell r="M136">
            <v>3</v>
          </cell>
          <cell r="N136">
            <v>11.5</v>
          </cell>
          <cell r="O136">
            <v>20.7</v>
          </cell>
          <cell r="P136">
            <v>29.2</v>
          </cell>
          <cell r="Q136">
            <v>87.8</v>
          </cell>
          <cell r="R136">
            <v>48.3</v>
          </cell>
          <cell r="S136">
            <v>0</v>
          </cell>
          <cell r="T136">
            <v>0</v>
          </cell>
          <cell r="U136">
            <v>328.2</v>
          </cell>
          <cell r="V136">
            <v>117.8</v>
          </cell>
          <cell r="W136">
            <v>60</v>
          </cell>
          <cell r="X136">
            <v>0</v>
          </cell>
          <cell r="Y136">
            <v>0</v>
          </cell>
          <cell r="Z136">
            <v>0</v>
          </cell>
        </row>
        <row r="137">
          <cell r="A137">
            <v>43136</v>
          </cell>
          <cell r="B137">
            <v>136</v>
          </cell>
          <cell r="C137">
            <v>203.6</v>
          </cell>
          <cell r="D137">
            <v>800.8</v>
          </cell>
          <cell r="E137">
            <v>3.93</v>
          </cell>
          <cell r="F137">
            <v>12.9</v>
          </cell>
          <cell r="G137">
            <v>0.9</v>
          </cell>
          <cell r="H137">
            <v>0.2</v>
          </cell>
          <cell r="I137">
            <v>11.8</v>
          </cell>
          <cell r="J137">
            <v>103.8</v>
          </cell>
          <cell r="K137">
            <v>0.4</v>
          </cell>
          <cell r="L137">
            <v>0.5</v>
          </cell>
          <cell r="M137">
            <v>0.1</v>
          </cell>
          <cell r="N137">
            <v>0.1</v>
          </cell>
          <cell r="O137">
            <v>9.8000000000000007</v>
          </cell>
          <cell r="P137">
            <v>0.4</v>
          </cell>
          <cell r="Q137">
            <v>0.2</v>
          </cell>
          <cell r="R137">
            <v>1.4</v>
          </cell>
          <cell r="S137">
            <v>0</v>
          </cell>
          <cell r="T137">
            <v>0</v>
          </cell>
          <cell r="U137">
            <v>66.7</v>
          </cell>
          <cell r="V137">
            <v>24.1</v>
          </cell>
          <cell r="W137">
            <v>21</v>
          </cell>
          <cell r="X137">
            <v>0</v>
          </cell>
          <cell r="Y137">
            <v>0</v>
          </cell>
          <cell r="Z137">
            <v>0</v>
          </cell>
        </row>
        <row r="138">
          <cell r="A138">
            <v>43137</v>
          </cell>
          <cell r="B138">
            <v>137</v>
          </cell>
          <cell r="C138">
            <v>84.4</v>
          </cell>
          <cell r="D138">
            <v>176</v>
          </cell>
          <cell r="E138">
            <v>2.08</v>
          </cell>
          <cell r="F138">
            <v>6.2</v>
          </cell>
          <cell r="G138">
            <v>0.2</v>
          </cell>
          <cell r="H138">
            <v>0.1</v>
          </cell>
          <cell r="I138">
            <v>6</v>
          </cell>
          <cell r="J138">
            <v>86.7</v>
          </cell>
          <cell r="K138">
            <v>0.1</v>
          </cell>
          <cell r="L138">
            <v>0.1</v>
          </cell>
          <cell r="M138">
            <v>0</v>
          </cell>
          <cell r="N138">
            <v>0</v>
          </cell>
          <cell r="O138">
            <v>0.2</v>
          </cell>
          <cell r="P138">
            <v>0.1</v>
          </cell>
          <cell r="Q138">
            <v>0.1</v>
          </cell>
          <cell r="R138">
            <v>5.6</v>
          </cell>
          <cell r="S138">
            <v>0</v>
          </cell>
          <cell r="T138">
            <v>0</v>
          </cell>
          <cell r="U138">
            <v>70.5</v>
          </cell>
          <cell r="V138">
            <v>10</v>
          </cell>
          <cell r="W138">
            <v>33</v>
          </cell>
          <cell r="X138">
            <v>0</v>
          </cell>
          <cell r="Y138">
            <v>0</v>
          </cell>
          <cell r="Z138">
            <v>0</v>
          </cell>
        </row>
        <row r="139">
          <cell r="A139">
            <v>43138</v>
          </cell>
          <cell r="B139">
            <v>138</v>
          </cell>
          <cell r="C139">
            <v>65.8</v>
          </cell>
          <cell r="D139">
            <v>173.5</v>
          </cell>
          <cell r="E139">
            <v>2.64</v>
          </cell>
          <cell r="F139">
            <v>1.6</v>
          </cell>
          <cell r="G139">
            <v>0.2</v>
          </cell>
          <cell r="H139">
            <v>0.9</v>
          </cell>
          <cell r="I139">
            <v>0.5</v>
          </cell>
          <cell r="J139">
            <v>103.2</v>
          </cell>
          <cell r="K139">
            <v>0.1</v>
          </cell>
          <cell r="L139">
            <v>0.1</v>
          </cell>
          <cell r="M139">
            <v>0</v>
          </cell>
          <cell r="N139">
            <v>0.9</v>
          </cell>
          <cell r="O139">
            <v>0.1</v>
          </cell>
          <cell r="P139">
            <v>0.1</v>
          </cell>
          <cell r="Q139">
            <v>0</v>
          </cell>
          <cell r="R139">
            <v>0.3</v>
          </cell>
          <cell r="S139">
            <v>23.4</v>
          </cell>
          <cell r="T139">
            <v>0</v>
          </cell>
          <cell r="U139">
            <v>70.5</v>
          </cell>
          <cell r="V139">
            <v>7.8</v>
          </cell>
          <cell r="W139">
            <v>4</v>
          </cell>
          <cell r="X139">
            <v>0</v>
          </cell>
          <cell r="Y139">
            <v>0</v>
          </cell>
          <cell r="Z139">
            <v>0</v>
          </cell>
        </row>
        <row r="140">
          <cell r="A140">
            <v>43139</v>
          </cell>
          <cell r="B140">
            <v>139</v>
          </cell>
          <cell r="C140">
            <v>85.7</v>
          </cell>
          <cell r="D140">
            <v>253.2</v>
          </cell>
          <cell r="E140">
            <v>2.95</v>
          </cell>
          <cell r="F140">
            <v>23.7</v>
          </cell>
          <cell r="G140">
            <v>2.1</v>
          </cell>
          <cell r="H140">
            <v>6.3</v>
          </cell>
          <cell r="I140">
            <v>15.3</v>
          </cell>
          <cell r="J140">
            <v>90</v>
          </cell>
          <cell r="K140">
            <v>0.9</v>
          </cell>
          <cell r="L140">
            <v>1.2</v>
          </cell>
          <cell r="M140">
            <v>0.3</v>
          </cell>
          <cell r="N140">
            <v>6</v>
          </cell>
          <cell r="O140">
            <v>1.7</v>
          </cell>
          <cell r="P140">
            <v>0.9</v>
          </cell>
          <cell r="Q140">
            <v>0.5</v>
          </cell>
          <cell r="R140">
            <v>12.2</v>
          </cell>
          <cell r="S140">
            <v>46.8</v>
          </cell>
          <cell r="T140">
            <v>0</v>
          </cell>
          <cell r="U140">
            <v>9.3000000000000007</v>
          </cell>
          <cell r="V140">
            <v>10.199999999999999</v>
          </cell>
          <cell r="W140">
            <v>15</v>
          </cell>
          <cell r="X140">
            <v>0</v>
          </cell>
          <cell r="Y140">
            <v>0</v>
          </cell>
          <cell r="Z140">
            <v>0</v>
          </cell>
        </row>
        <row r="141">
          <cell r="A141">
            <v>43140</v>
          </cell>
          <cell r="B141">
            <v>140</v>
          </cell>
          <cell r="C141">
            <v>81.2</v>
          </cell>
          <cell r="D141">
            <v>192.1</v>
          </cell>
          <cell r="E141">
            <v>2.36</v>
          </cell>
          <cell r="F141">
            <v>14.6</v>
          </cell>
          <cell r="G141">
            <v>2.7</v>
          </cell>
          <cell r="H141">
            <v>0.7</v>
          </cell>
          <cell r="I141">
            <v>11.2</v>
          </cell>
          <cell r="J141">
            <v>72.900000000000006</v>
          </cell>
          <cell r="K141">
            <v>1.2</v>
          </cell>
          <cell r="L141">
            <v>1.5</v>
          </cell>
          <cell r="M141">
            <v>0.3</v>
          </cell>
          <cell r="N141">
            <v>0.4</v>
          </cell>
          <cell r="O141">
            <v>2.2000000000000002</v>
          </cell>
          <cell r="P141">
            <v>1.1000000000000001</v>
          </cell>
          <cell r="Q141">
            <v>1.8</v>
          </cell>
          <cell r="R141">
            <v>6.1</v>
          </cell>
          <cell r="S141">
            <v>46.8</v>
          </cell>
          <cell r="T141">
            <v>0</v>
          </cell>
          <cell r="U141">
            <v>1.9</v>
          </cell>
          <cell r="V141">
            <v>9.6</v>
          </cell>
          <cell r="W141">
            <v>16</v>
          </cell>
          <cell r="X141">
            <v>0</v>
          </cell>
          <cell r="Y141">
            <v>0</v>
          </cell>
          <cell r="Z141">
            <v>0</v>
          </cell>
        </row>
        <row r="142">
          <cell r="A142">
            <v>43141</v>
          </cell>
          <cell r="B142">
            <v>141</v>
          </cell>
          <cell r="C142">
            <v>109.7</v>
          </cell>
          <cell r="D142">
            <v>294.2</v>
          </cell>
          <cell r="E142">
            <v>2.68</v>
          </cell>
          <cell r="F142">
            <v>16.3</v>
          </cell>
          <cell r="G142">
            <v>4.4000000000000004</v>
          </cell>
          <cell r="H142">
            <v>2.6</v>
          </cell>
          <cell r="I142">
            <v>9.3000000000000007</v>
          </cell>
          <cell r="J142">
            <v>83.5</v>
          </cell>
          <cell r="K142">
            <v>3</v>
          </cell>
          <cell r="L142">
            <v>1.4</v>
          </cell>
          <cell r="M142">
            <v>0.3</v>
          </cell>
          <cell r="N142">
            <v>2.2999999999999998</v>
          </cell>
          <cell r="O142">
            <v>2</v>
          </cell>
          <cell r="P142">
            <v>1.1000000000000001</v>
          </cell>
          <cell r="Q142">
            <v>0.6</v>
          </cell>
          <cell r="R142">
            <v>5.6</v>
          </cell>
          <cell r="S142">
            <v>46.8</v>
          </cell>
          <cell r="T142">
            <v>0</v>
          </cell>
          <cell r="U142">
            <v>7.4</v>
          </cell>
          <cell r="V142">
            <v>13</v>
          </cell>
          <cell r="W142">
            <v>27</v>
          </cell>
          <cell r="X142">
            <v>0</v>
          </cell>
          <cell r="Y142">
            <v>0</v>
          </cell>
          <cell r="Z142">
            <v>0</v>
          </cell>
        </row>
        <row r="143">
          <cell r="A143">
            <v>43142</v>
          </cell>
          <cell r="B143">
            <v>142</v>
          </cell>
          <cell r="C143">
            <v>157.1</v>
          </cell>
          <cell r="D143">
            <v>313</v>
          </cell>
          <cell r="E143">
            <v>1.99</v>
          </cell>
          <cell r="F143">
            <v>183.4</v>
          </cell>
          <cell r="G143">
            <v>37.4</v>
          </cell>
          <cell r="H143">
            <v>30</v>
          </cell>
          <cell r="I143">
            <v>116</v>
          </cell>
          <cell r="J143">
            <v>278.5</v>
          </cell>
          <cell r="K143">
            <v>16.2</v>
          </cell>
          <cell r="L143">
            <v>21.2</v>
          </cell>
          <cell r="M143">
            <v>21.7</v>
          </cell>
          <cell r="N143">
            <v>8.4</v>
          </cell>
          <cell r="O143">
            <v>30.3</v>
          </cell>
          <cell r="P143">
            <v>16</v>
          </cell>
          <cell r="Q143">
            <v>9.4</v>
          </cell>
          <cell r="R143">
            <v>60.3</v>
          </cell>
          <cell r="S143">
            <v>46.8</v>
          </cell>
          <cell r="T143">
            <v>0</v>
          </cell>
          <cell r="U143">
            <v>29.7</v>
          </cell>
          <cell r="V143">
            <v>18.600000000000001</v>
          </cell>
          <cell r="W143">
            <v>3</v>
          </cell>
          <cell r="X143">
            <v>0</v>
          </cell>
          <cell r="Y143">
            <v>0</v>
          </cell>
          <cell r="Z143">
            <v>0</v>
          </cell>
        </row>
        <row r="144">
          <cell r="A144">
            <v>43143</v>
          </cell>
          <cell r="B144">
            <v>143</v>
          </cell>
          <cell r="C144">
            <v>164.3</v>
          </cell>
          <cell r="D144">
            <v>442</v>
          </cell>
          <cell r="E144">
            <v>2.69</v>
          </cell>
          <cell r="F144">
            <v>92.6</v>
          </cell>
          <cell r="G144">
            <v>44.4</v>
          </cell>
          <cell r="H144">
            <v>3.8</v>
          </cell>
          <cell r="I144">
            <v>44.3</v>
          </cell>
          <cell r="J144">
            <v>201.1</v>
          </cell>
          <cell r="K144">
            <v>6.2</v>
          </cell>
          <cell r="L144">
            <v>38.200000000000003</v>
          </cell>
          <cell r="M144">
            <v>1.7</v>
          </cell>
          <cell r="N144">
            <v>2.1</v>
          </cell>
          <cell r="O144">
            <v>11.7</v>
          </cell>
          <cell r="P144">
            <v>6.1</v>
          </cell>
          <cell r="Q144">
            <v>3.6</v>
          </cell>
          <cell r="R144">
            <v>23</v>
          </cell>
          <cell r="S144">
            <v>0</v>
          </cell>
          <cell r="T144">
            <v>0</v>
          </cell>
          <cell r="U144">
            <v>89</v>
          </cell>
          <cell r="V144">
            <v>19.5</v>
          </cell>
          <cell r="W144">
            <v>24</v>
          </cell>
          <cell r="X144">
            <v>0</v>
          </cell>
          <cell r="Y144">
            <v>0</v>
          </cell>
          <cell r="Z144">
            <v>0</v>
          </cell>
        </row>
        <row r="145">
          <cell r="A145">
            <v>43144</v>
          </cell>
          <cell r="B145">
            <v>144</v>
          </cell>
          <cell r="C145">
            <v>303.3</v>
          </cell>
          <cell r="D145">
            <v>679.8</v>
          </cell>
          <cell r="E145">
            <v>2.2400000000000002</v>
          </cell>
          <cell r="F145">
            <v>109.6</v>
          </cell>
          <cell r="G145">
            <v>50.6</v>
          </cell>
          <cell r="H145">
            <v>4.7</v>
          </cell>
          <cell r="I145">
            <v>54.3</v>
          </cell>
          <cell r="J145">
            <v>353.1</v>
          </cell>
          <cell r="K145">
            <v>40.799999999999997</v>
          </cell>
          <cell r="L145">
            <v>9.8000000000000007</v>
          </cell>
          <cell r="M145">
            <v>2.1</v>
          </cell>
          <cell r="N145">
            <v>2.6</v>
          </cell>
          <cell r="O145">
            <v>14.4</v>
          </cell>
          <cell r="P145">
            <v>7.5</v>
          </cell>
          <cell r="Q145">
            <v>4.4000000000000004</v>
          </cell>
          <cell r="R145">
            <v>28</v>
          </cell>
          <cell r="S145">
            <v>0</v>
          </cell>
          <cell r="T145">
            <v>0</v>
          </cell>
          <cell r="U145">
            <v>207.7</v>
          </cell>
          <cell r="V145">
            <v>35.9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</row>
        <row r="146">
          <cell r="A146">
            <v>43145</v>
          </cell>
          <cell r="B146">
            <v>145</v>
          </cell>
          <cell r="C146">
            <v>278.7</v>
          </cell>
          <cell r="D146">
            <v>777.1</v>
          </cell>
          <cell r="E146">
            <v>2.79</v>
          </cell>
          <cell r="F146">
            <v>315</v>
          </cell>
          <cell r="G146">
            <v>126.6</v>
          </cell>
          <cell r="H146">
            <v>10.5</v>
          </cell>
          <cell r="I146">
            <v>178</v>
          </cell>
          <cell r="J146">
            <v>433.3</v>
          </cell>
          <cell r="K146">
            <v>82.6</v>
          </cell>
          <cell r="L146">
            <v>43.9</v>
          </cell>
          <cell r="M146">
            <v>2.2000000000000002</v>
          </cell>
          <cell r="N146">
            <v>8.3000000000000007</v>
          </cell>
          <cell r="O146">
            <v>116.5</v>
          </cell>
          <cell r="P146">
            <v>8</v>
          </cell>
          <cell r="Q146">
            <v>23.5</v>
          </cell>
          <cell r="R146">
            <v>30</v>
          </cell>
          <cell r="S146">
            <v>0</v>
          </cell>
          <cell r="T146">
            <v>0</v>
          </cell>
          <cell r="U146">
            <v>85.3</v>
          </cell>
          <cell r="V146">
            <v>33</v>
          </cell>
          <cell r="W146">
            <v>33</v>
          </cell>
          <cell r="X146">
            <v>0</v>
          </cell>
          <cell r="Y146">
            <v>0</v>
          </cell>
          <cell r="Z146">
            <v>0</v>
          </cell>
        </row>
        <row r="147">
          <cell r="A147">
            <v>43146</v>
          </cell>
          <cell r="B147">
            <v>146</v>
          </cell>
          <cell r="C147">
            <v>226</v>
          </cell>
          <cell r="D147">
            <v>365.5</v>
          </cell>
          <cell r="E147">
            <v>1.62</v>
          </cell>
          <cell r="F147">
            <v>165.6</v>
          </cell>
          <cell r="G147">
            <v>68.5</v>
          </cell>
          <cell r="H147">
            <v>2.7</v>
          </cell>
          <cell r="I147">
            <v>94.3</v>
          </cell>
          <cell r="J147">
            <v>270.3</v>
          </cell>
          <cell r="K147">
            <v>28.3</v>
          </cell>
          <cell r="L147">
            <v>40.200000000000003</v>
          </cell>
          <cell r="M147">
            <v>1.2</v>
          </cell>
          <cell r="N147">
            <v>1.5</v>
          </cell>
          <cell r="O147">
            <v>10.199999999999999</v>
          </cell>
          <cell r="P147">
            <v>36.299999999999997</v>
          </cell>
          <cell r="Q147">
            <v>2.6</v>
          </cell>
          <cell r="R147">
            <v>45.2</v>
          </cell>
          <cell r="S147">
            <v>0</v>
          </cell>
          <cell r="T147">
            <v>0</v>
          </cell>
          <cell r="U147">
            <v>77.900000000000006</v>
          </cell>
          <cell r="V147">
            <v>26.8</v>
          </cell>
          <cell r="W147">
            <v>28</v>
          </cell>
          <cell r="X147">
            <v>0</v>
          </cell>
          <cell r="Y147">
            <v>0</v>
          </cell>
          <cell r="Z147">
            <v>0</v>
          </cell>
        </row>
        <row r="148">
          <cell r="A148">
            <v>43147</v>
          </cell>
          <cell r="B148">
            <v>147</v>
          </cell>
          <cell r="C148">
            <v>138.5</v>
          </cell>
          <cell r="D148">
            <v>285.89999999999998</v>
          </cell>
          <cell r="E148">
            <v>2.06</v>
          </cell>
          <cell r="F148">
            <v>25</v>
          </cell>
          <cell r="G148">
            <v>4.5</v>
          </cell>
          <cell r="H148">
            <v>1.2</v>
          </cell>
          <cell r="I148">
            <v>19.2</v>
          </cell>
          <cell r="J148">
            <v>48.8</v>
          </cell>
          <cell r="K148">
            <v>2</v>
          </cell>
          <cell r="L148">
            <v>2.5</v>
          </cell>
          <cell r="M148">
            <v>0.5</v>
          </cell>
          <cell r="N148">
            <v>0.7</v>
          </cell>
          <cell r="O148">
            <v>3.8</v>
          </cell>
          <cell r="P148">
            <v>1.9</v>
          </cell>
          <cell r="Q148">
            <v>1.2</v>
          </cell>
          <cell r="R148">
            <v>12.3</v>
          </cell>
          <cell r="S148">
            <v>0</v>
          </cell>
          <cell r="T148">
            <v>0</v>
          </cell>
          <cell r="U148">
            <v>7.4</v>
          </cell>
          <cell r="V148">
            <v>16.399999999999999</v>
          </cell>
          <cell r="W148">
            <v>4</v>
          </cell>
          <cell r="X148">
            <v>0</v>
          </cell>
          <cell r="Y148">
            <v>0</v>
          </cell>
          <cell r="Z148">
            <v>0</v>
          </cell>
        </row>
        <row r="149">
          <cell r="A149">
            <v>43148</v>
          </cell>
          <cell r="B149">
            <v>148</v>
          </cell>
          <cell r="C149">
            <v>138.4</v>
          </cell>
          <cell r="D149">
            <v>357.6</v>
          </cell>
          <cell r="E149">
            <v>2.58</v>
          </cell>
          <cell r="F149">
            <v>143.5</v>
          </cell>
          <cell r="G149">
            <v>22</v>
          </cell>
          <cell r="H149">
            <v>53.3</v>
          </cell>
          <cell r="I149">
            <v>68.3</v>
          </cell>
          <cell r="J149">
            <v>207.4</v>
          </cell>
          <cell r="K149">
            <v>9.6</v>
          </cell>
          <cell r="L149">
            <v>12.4</v>
          </cell>
          <cell r="M149">
            <v>28.4</v>
          </cell>
          <cell r="N149">
            <v>24.8</v>
          </cell>
          <cell r="O149">
            <v>18</v>
          </cell>
          <cell r="P149">
            <v>9.4</v>
          </cell>
          <cell r="Q149">
            <v>5.6</v>
          </cell>
          <cell r="R149">
            <v>35.299999999999997</v>
          </cell>
          <cell r="S149">
            <v>23.4</v>
          </cell>
          <cell r="T149">
            <v>0</v>
          </cell>
          <cell r="U149">
            <v>24.1</v>
          </cell>
          <cell r="V149">
            <v>16.399999999999999</v>
          </cell>
          <cell r="W149">
            <v>8</v>
          </cell>
          <cell r="X149">
            <v>0</v>
          </cell>
          <cell r="Y149">
            <v>0</v>
          </cell>
          <cell r="Z149">
            <v>0</v>
          </cell>
        </row>
        <row r="150">
          <cell r="A150">
            <v>43149</v>
          </cell>
          <cell r="B150">
            <v>149</v>
          </cell>
          <cell r="C150">
            <v>246.2</v>
          </cell>
          <cell r="D150">
            <v>487.8</v>
          </cell>
          <cell r="E150">
            <v>1.98</v>
          </cell>
          <cell r="F150">
            <v>170.9</v>
          </cell>
          <cell r="G150">
            <v>57.2</v>
          </cell>
          <cell r="H150">
            <v>16.5</v>
          </cell>
          <cell r="I150">
            <v>97.2</v>
          </cell>
          <cell r="J150">
            <v>335.5</v>
          </cell>
          <cell r="K150">
            <v>43.2</v>
          </cell>
          <cell r="L150">
            <v>14</v>
          </cell>
          <cell r="M150">
            <v>3</v>
          </cell>
          <cell r="N150">
            <v>13.5</v>
          </cell>
          <cell r="O150">
            <v>24</v>
          </cell>
          <cell r="P150">
            <v>10.7</v>
          </cell>
          <cell r="Q150">
            <v>22.4</v>
          </cell>
          <cell r="R150">
            <v>40.1</v>
          </cell>
          <cell r="S150">
            <v>0</v>
          </cell>
          <cell r="T150">
            <v>0</v>
          </cell>
          <cell r="U150">
            <v>135.30000000000001</v>
          </cell>
          <cell r="V150">
            <v>29.2</v>
          </cell>
          <cell r="W150">
            <v>3</v>
          </cell>
          <cell r="X150">
            <v>0</v>
          </cell>
          <cell r="Y150">
            <v>0</v>
          </cell>
          <cell r="Z150">
            <v>0</v>
          </cell>
        </row>
        <row r="151">
          <cell r="A151">
            <v>43150</v>
          </cell>
          <cell r="B151">
            <v>150</v>
          </cell>
          <cell r="C151">
            <v>377.7</v>
          </cell>
          <cell r="D151">
            <v>963.3</v>
          </cell>
          <cell r="E151">
            <v>2.5499999999999998</v>
          </cell>
          <cell r="F151">
            <v>954.9</v>
          </cell>
          <cell r="G151">
            <v>111.5</v>
          </cell>
          <cell r="H151">
            <v>139.19999999999999</v>
          </cell>
          <cell r="I151">
            <v>704.3</v>
          </cell>
          <cell r="J151">
            <v>1086.9000000000001</v>
          </cell>
          <cell r="K151">
            <v>37.299999999999997</v>
          </cell>
          <cell r="L151">
            <v>74.099999999999994</v>
          </cell>
          <cell r="M151">
            <v>105.2</v>
          </cell>
          <cell r="N151">
            <v>34</v>
          </cell>
          <cell r="O151">
            <v>47.5</v>
          </cell>
          <cell r="P151">
            <v>308.2</v>
          </cell>
          <cell r="Q151">
            <v>14.8</v>
          </cell>
          <cell r="R151">
            <v>333.7</v>
          </cell>
          <cell r="S151">
            <v>0</v>
          </cell>
          <cell r="T151">
            <v>0</v>
          </cell>
          <cell r="U151">
            <v>87.1</v>
          </cell>
          <cell r="V151">
            <v>44.8</v>
          </cell>
          <cell r="W151">
            <v>49</v>
          </cell>
          <cell r="X151">
            <v>0</v>
          </cell>
          <cell r="Y151">
            <v>0</v>
          </cell>
          <cell r="Z151">
            <v>0</v>
          </cell>
        </row>
        <row r="152">
          <cell r="A152">
            <v>43151</v>
          </cell>
          <cell r="B152">
            <v>151</v>
          </cell>
          <cell r="C152">
            <v>41.6</v>
          </cell>
          <cell r="D152">
            <v>138.19999999999999</v>
          </cell>
          <cell r="E152">
            <v>3.32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25.3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20.399999999999999</v>
          </cell>
          <cell r="V152">
            <v>4.9000000000000004</v>
          </cell>
          <cell r="W152">
            <v>5</v>
          </cell>
          <cell r="X152">
            <v>0</v>
          </cell>
          <cell r="Y152">
            <v>0</v>
          </cell>
          <cell r="Z152">
            <v>0</v>
          </cell>
        </row>
        <row r="153">
          <cell r="A153">
            <v>43152</v>
          </cell>
          <cell r="B153">
            <v>152</v>
          </cell>
          <cell r="C153">
            <v>49.8</v>
          </cell>
          <cell r="D153">
            <v>163.9</v>
          </cell>
          <cell r="E153">
            <v>3.29</v>
          </cell>
          <cell r="F153">
            <v>3.6</v>
          </cell>
          <cell r="G153">
            <v>0.8</v>
          </cell>
          <cell r="H153">
            <v>0.2</v>
          </cell>
          <cell r="I153">
            <v>2.5</v>
          </cell>
          <cell r="J153">
            <v>27.1</v>
          </cell>
          <cell r="K153">
            <v>0.4</v>
          </cell>
          <cell r="L153">
            <v>0.4</v>
          </cell>
          <cell r="M153">
            <v>0.1</v>
          </cell>
          <cell r="N153">
            <v>0.1</v>
          </cell>
          <cell r="O153">
            <v>0.7</v>
          </cell>
          <cell r="P153">
            <v>0.3</v>
          </cell>
          <cell r="Q153">
            <v>0.2</v>
          </cell>
          <cell r="R153">
            <v>1.3</v>
          </cell>
          <cell r="S153">
            <v>4.7</v>
          </cell>
          <cell r="T153">
            <v>0</v>
          </cell>
          <cell r="U153">
            <v>13</v>
          </cell>
          <cell r="V153">
            <v>5.9</v>
          </cell>
          <cell r="W153">
            <v>5</v>
          </cell>
          <cell r="X153">
            <v>0</v>
          </cell>
          <cell r="Y153">
            <v>0</v>
          </cell>
          <cell r="Z153">
            <v>0</v>
          </cell>
        </row>
        <row r="154">
          <cell r="A154">
            <v>43153</v>
          </cell>
          <cell r="B154">
            <v>153</v>
          </cell>
          <cell r="C154">
            <v>515.5</v>
          </cell>
          <cell r="D154">
            <v>1242.3</v>
          </cell>
          <cell r="E154">
            <v>2.41</v>
          </cell>
          <cell r="F154">
            <v>94.4</v>
          </cell>
          <cell r="G154">
            <v>19.2</v>
          </cell>
          <cell r="H154">
            <v>3</v>
          </cell>
          <cell r="I154">
            <v>72.2</v>
          </cell>
          <cell r="J154">
            <v>326.10000000000002</v>
          </cell>
          <cell r="K154">
            <v>3.5</v>
          </cell>
          <cell r="L154">
            <v>15.7</v>
          </cell>
          <cell r="M154">
            <v>1.8</v>
          </cell>
          <cell r="N154">
            <v>1.2</v>
          </cell>
          <cell r="O154">
            <v>6.4</v>
          </cell>
          <cell r="P154">
            <v>3.4</v>
          </cell>
          <cell r="Q154">
            <v>3.8</v>
          </cell>
          <cell r="R154">
            <v>58.6</v>
          </cell>
          <cell r="S154">
            <v>0</v>
          </cell>
          <cell r="T154">
            <v>0</v>
          </cell>
          <cell r="U154">
            <v>170.6</v>
          </cell>
          <cell r="V154">
            <v>61.1</v>
          </cell>
          <cell r="W154">
            <v>74</v>
          </cell>
          <cell r="X154">
            <v>0</v>
          </cell>
          <cell r="Y154">
            <v>0</v>
          </cell>
          <cell r="Z154">
            <v>0</v>
          </cell>
        </row>
        <row r="155">
          <cell r="A155">
            <v>43154</v>
          </cell>
          <cell r="B155">
            <v>154</v>
          </cell>
          <cell r="C155">
            <v>361.7</v>
          </cell>
          <cell r="D155">
            <v>837.7</v>
          </cell>
          <cell r="E155">
            <v>2.3199999999999998</v>
          </cell>
          <cell r="F155">
            <v>88.3</v>
          </cell>
          <cell r="G155">
            <v>5.8</v>
          </cell>
          <cell r="H155">
            <v>1.5</v>
          </cell>
          <cell r="I155">
            <v>81</v>
          </cell>
          <cell r="J155">
            <v>337.1</v>
          </cell>
          <cell r="K155">
            <v>2.5</v>
          </cell>
          <cell r="L155">
            <v>3.2</v>
          </cell>
          <cell r="M155">
            <v>0.7</v>
          </cell>
          <cell r="N155">
            <v>0.9</v>
          </cell>
          <cell r="O155">
            <v>15.5</v>
          </cell>
          <cell r="P155">
            <v>2.5</v>
          </cell>
          <cell r="Q155">
            <v>1.5</v>
          </cell>
          <cell r="R155">
            <v>61.5</v>
          </cell>
          <cell r="S155">
            <v>9.3000000000000007</v>
          </cell>
          <cell r="T155">
            <v>0</v>
          </cell>
          <cell r="U155">
            <v>196.5</v>
          </cell>
          <cell r="V155">
            <v>42.9</v>
          </cell>
          <cell r="W155">
            <v>16</v>
          </cell>
          <cell r="X155">
            <v>0</v>
          </cell>
          <cell r="Y155">
            <v>0</v>
          </cell>
          <cell r="Z155">
            <v>0</v>
          </cell>
        </row>
        <row r="156">
          <cell r="A156">
            <v>43155</v>
          </cell>
          <cell r="B156">
            <v>155</v>
          </cell>
          <cell r="C156">
            <v>94.7</v>
          </cell>
          <cell r="D156">
            <v>229.2</v>
          </cell>
          <cell r="E156">
            <v>2.42</v>
          </cell>
          <cell r="F156">
            <v>15.7</v>
          </cell>
          <cell r="G156">
            <v>1.9</v>
          </cell>
          <cell r="H156">
            <v>1.3</v>
          </cell>
          <cell r="I156">
            <v>12.5</v>
          </cell>
          <cell r="J156">
            <v>43.6</v>
          </cell>
          <cell r="K156">
            <v>0.8</v>
          </cell>
          <cell r="L156">
            <v>1.1000000000000001</v>
          </cell>
          <cell r="M156">
            <v>0.2</v>
          </cell>
          <cell r="N156">
            <v>1.1000000000000001</v>
          </cell>
          <cell r="O156">
            <v>8</v>
          </cell>
          <cell r="P156">
            <v>0.8</v>
          </cell>
          <cell r="Q156">
            <v>0.5</v>
          </cell>
          <cell r="R156">
            <v>3.1</v>
          </cell>
          <cell r="S156">
            <v>0</v>
          </cell>
          <cell r="T156">
            <v>0</v>
          </cell>
          <cell r="U156">
            <v>16.7</v>
          </cell>
          <cell r="V156">
            <v>11.2</v>
          </cell>
          <cell r="W156">
            <v>7</v>
          </cell>
          <cell r="X156">
            <v>0</v>
          </cell>
          <cell r="Y156">
            <v>0</v>
          </cell>
          <cell r="Z156">
            <v>0</v>
          </cell>
        </row>
        <row r="157">
          <cell r="A157">
            <v>43156</v>
          </cell>
          <cell r="B157">
            <v>156</v>
          </cell>
          <cell r="C157">
            <v>32.5</v>
          </cell>
          <cell r="D157">
            <v>74.599999999999994</v>
          </cell>
          <cell r="E157">
            <v>2.29</v>
          </cell>
          <cell r="F157">
            <v>9.3000000000000007</v>
          </cell>
          <cell r="G157">
            <v>0.1</v>
          </cell>
          <cell r="H157">
            <v>0</v>
          </cell>
          <cell r="I157">
            <v>9.1999999999999993</v>
          </cell>
          <cell r="J157">
            <v>18.7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0.1</v>
          </cell>
          <cell r="P157">
            <v>0</v>
          </cell>
          <cell r="Q157">
            <v>0</v>
          </cell>
          <cell r="R157">
            <v>9</v>
          </cell>
          <cell r="S157">
            <v>0</v>
          </cell>
          <cell r="T157">
            <v>0</v>
          </cell>
          <cell r="U157">
            <v>5.6</v>
          </cell>
          <cell r="V157">
            <v>3.9</v>
          </cell>
          <cell r="W157">
            <v>63</v>
          </cell>
          <cell r="X157">
            <v>0</v>
          </cell>
          <cell r="Y157">
            <v>0</v>
          </cell>
          <cell r="Z157">
            <v>0</v>
          </cell>
        </row>
        <row r="158">
          <cell r="A158">
            <v>43157</v>
          </cell>
          <cell r="B158">
            <v>157</v>
          </cell>
          <cell r="C158">
            <v>3.8</v>
          </cell>
          <cell r="D158">
            <v>7.3</v>
          </cell>
          <cell r="E158">
            <v>1.92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0.4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0.4</v>
          </cell>
          <cell r="W158">
            <v>4</v>
          </cell>
          <cell r="X158">
            <v>0</v>
          </cell>
          <cell r="Y158">
            <v>0</v>
          </cell>
          <cell r="Z158">
            <v>0</v>
          </cell>
        </row>
        <row r="159">
          <cell r="A159">
            <v>43158</v>
          </cell>
          <cell r="B159">
            <v>158</v>
          </cell>
          <cell r="C159">
            <v>139</v>
          </cell>
          <cell r="D159">
            <v>286.60000000000002</v>
          </cell>
          <cell r="E159">
            <v>2.06</v>
          </cell>
          <cell r="F159">
            <v>1.1000000000000001</v>
          </cell>
          <cell r="G159">
            <v>0</v>
          </cell>
          <cell r="H159">
            <v>0</v>
          </cell>
          <cell r="I159">
            <v>1</v>
          </cell>
          <cell r="J159">
            <v>191.8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0.9</v>
          </cell>
          <cell r="R159">
            <v>0.1</v>
          </cell>
          <cell r="S159">
            <v>0</v>
          </cell>
          <cell r="T159">
            <v>24</v>
          </cell>
          <cell r="U159">
            <v>150.19999999999999</v>
          </cell>
          <cell r="V159">
            <v>16.5</v>
          </cell>
          <cell r="W159">
            <v>8</v>
          </cell>
          <cell r="X159">
            <v>0</v>
          </cell>
          <cell r="Y159">
            <v>0</v>
          </cell>
          <cell r="Z159">
            <v>0</v>
          </cell>
        </row>
        <row r="160">
          <cell r="A160">
            <v>43159</v>
          </cell>
          <cell r="B160">
            <v>159</v>
          </cell>
          <cell r="C160">
            <v>189.3</v>
          </cell>
          <cell r="D160">
            <v>485.6</v>
          </cell>
          <cell r="E160">
            <v>2.56</v>
          </cell>
          <cell r="F160">
            <v>11.8</v>
          </cell>
          <cell r="G160">
            <v>0.4</v>
          </cell>
          <cell r="H160">
            <v>0.1</v>
          </cell>
          <cell r="I160">
            <v>11.3</v>
          </cell>
          <cell r="J160">
            <v>134.4</v>
          </cell>
          <cell r="K160">
            <v>0.2</v>
          </cell>
          <cell r="L160">
            <v>0.2</v>
          </cell>
          <cell r="M160">
            <v>0</v>
          </cell>
          <cell r="N160">
            <v>0.1</v>
          </cell>
          <cell r="O160">
            <v>0.3</v>
          </cell>
          <cell r="P160">
            <v>7.2</v>
          </cell>
          <cell r="Q160">
            <v>0.1</v>
          </cell>
          <cell r="R160">
            <v>3.7</v>
          </cell>
          <cell r="S160">
            <v>9.3000000000000007</v>
          </cell>
          <cell r="T160">
            <v>0</v>
          </cell>
          <cell r="U160">
            <v>90.9</v>
          </cell>
          <cell r="V160">
            <v>22.4</v>
          </cell>
          <cell r="W160">
            <v>11</v>
          </cell>
          <cell r="X160">
            <v>0</v>
          </cell>
          <cell r="Y160">
            <v>0</v>
          </cell>
          <cell r="Z160">
            <v>0</v>
          </cell>
        </row>
        <row r="161">
          <cell r="A161">
            <v>43160</v>
          </cell>
          <cell r="B161">
            <v>160</v>
          </cell>
          <cell r="C161">
            <v>223.3</v>
          </cell>
          <cell r="D161">
            <v>838.4</v>
          </cell>
          <cell r="E161">
            <v>3.75</v>
          </cell>
          <cell r="F161">
            <v>10.3</v>
          </cell>
          <cell r="G161">
            <v>2.2999999999999998</v>
          </cell>
          <cell r="H161">
            <v>0.6</v>
          </cell>
          <cell r="I161">
            <v>7.4</v>
          </cell>
          <cell r="J161">
            <v>179.7</v>
          </cell>
          <cell r="K161">
            <v>0.9</v>
          </cell>
          <cell r="L161">
            <v>1.4</v>
          </cell>
          <cell r="M161">
            <v>0.3</v>
          </cell>
          <cell r="N161">
            <v>0.4</v>
          </cell>
          <cell r="O161">
            <v>1.9</v>
          </cell>
          <cell r="P161">
            <v>1</v>
          </cell>
          <cell r="Q161">
            <v>0.6</v>
          </cell>
          <cell r="R161">
            <v>3.8</v>
          </cell>
          <cell r="S161">
            <v>9.3000000000000007</v>
          </cell>
          <cell r="T161">
            <v>0</v>
          </cell>
          <cell r="U161">
            <v>133.5</v>
          </cell>
          <cell r="V161">
            <v>26.5</v>
          </cell>
          <cell r="W161">
            <v>24</v>
          </cell>
          <cell r="X161">
            <v>0</v>
          </cell>
          <cell r="Y161">
            <v>0</v>
          </cell>
          <cell r="Z161">
            <v>0</v>
          </cell>
        </row>
        <row r="162">
          <cell r="A162">
            <v>43161</v>
          </cell>
          <cell r="B162">
            <v>161</v>
          </cell>
          <cell r="C162">
            <v>88.9</v>
          </cell>
          <cell r="D162">
            <v>212.7</v>
          </cell>
          <cell r="E162">
            <v>2.39</v>
          </cell>
          <cell r="F162">
            <v>10.199999999999999</v>
          </cell>
          <cell r="G162">
            <v>0.1</v>
          </cell>
          <cell r="H162">
            <v>0.9</v>
          </cell>
          <cell r="I162">
            <v>9.1999999999999993</v>
          </cell>
          <cell r="J162">
            <v>33.700000000000003</v>
          </cell>
          <cell r="K162">
            <v>0</v>
          </cell>
          <cell r="L162">
            <v>0</v>
          </cell>
          <cell r="M162">
            <v>0</v>
          </cell>
          <cell r="N162">
            <v>0.9</v>
          </cell>
          <cell r="O162">
            <v>0.1</v>
          </cell>
          <cell r="P162">
            <v>0</v>
          </cell>
          <cell r="Q162">
            <v>0</v>
          </cell>
          <cell r="R162">
            <v>9.1</v>
          </cell>
          <cell r="S162">
            <v>9.3000000000000007</v>
          </cell>
          <cell r="T162">
            <v>0</v>
          </cell>
          <cell r="U162">
            <v>3.7</v>
          </cell>
          <cell r="V162">
            <v>10.5</v>
          </cell>
          <cell r="W162">
            <v>3</v>
          </cell>
          <cell r="X162">
            <v>0</v>
          </cell>
          <cell r="Y162">
            <v>0</v>
          </cell>
          <cell r="Z162">
            <v>0</v>
          </cell>
        </row>
        <row r="163">
          <cell r="A163">
            <v>43162</v>
          </cell>
          <cell r="B163">
            <v>162</v>
          </cell>
          <cell r="C163">
            <v>6.2</v>
          </cell>
          <cell r="D163">
            <v>19.8</v>
          </cell>
          <cell r="E163">
            <v>3.22</v>
          </cell>
          <cell r="F163">
            <v>7.8</v>
          </cell>
          <cell r="G163">
            <v>0.2</v>
          </cell>
          <cell r="H163">
            <v>0</v>
          </cell>
          <cell r="I163">
            <v>7.6</v>
          </cell>
          <cell r="J163">
            <v>13.2</v>
          </cell>
          <cell r="K163">
            <v>0.1</v>
          </cell>
          <cell r="L163">
            <v>0.1</v>
          </cell>
          <cell r="M163">
            <v>0</v>
          </cell>
          <cell r="N163">
            <v>0</v>
          </cell>
          <cell r="O163">
            <v>0.1</v>
          </cell>
          <cell r="P163">
            <v>0.1</v>
          </cell>
          <cell r="Q163">
            <v>0</v>
          </cell>
          <cell r="R163">
            <v>7.3</v>
          </cell>
          <cell r="S163">
            <v>4.7</v>
          </cell>
          <cell r="T163">
            <v>0</v>
          </cell>
          <cell r="U163">
            <v>0</v>
          </cell>
          <cell r="V163">
            <v>0.7</v>
          </cell>
          <cell r="W163">
            <v>1</v>
          </cell>
          <cell r="X163">
            <v>0</v>
          </cell>
          <cell r="Y163">
            <v>0</v>
          </cell>
          <cell r="Z163">
            <v>0</v>
          </cell>
        </row>
        <row r="164">
          <cell r="A164">
            <v>43163</v>
          </cell>
          <cell r="B164">
            <v>163</v>
          </cell>
          <cell r="C164">
            <v>67.599999999999994</v>
          </cell>
          <cell r="D164">
            <v>164.4</v>
          </cell>
          <cell r="E164">
            <v>2.4300000000000002</v>
          </cell>
          <cell r="F164">
            <v>25</v>
          </cell>
          <cell r="G164">
            <v>2.2000000000000002</v>
          </cell>
          <cell r="H164">
            <v>0.6</v>
          </cell>
          <cell r="I164">
            <v>22.3</v>
          </cell>
          <cell r="J164">
            <v>43.3</v>
          </cell>
          <cell r="K164">
            <v>1</v>
          </cell>
          <cell r="L164">
            <v>1.2</v>
          </cell>
          <cell r="M164">
            <v>0.3</v>
          </cell>
          <cell r="N164">
            <v>0.3</v>
          </cell>
          <cell r="O164">
            <v>1.7</v>
          </cell>
          <cell r="P164">
            <v>0.9</v>
          </cell>
          <cell r="Q164">
            <v>0.5</v>
          </cell>
          <cell r="R164">
            <v>19.100000000000001</v>
          </cell>
          <cell r="S164">
            <v>4.7</v>
          </cell>
          <cell r="T164">
            <v>0</v>
          </cell>
          <cell r="U164">
            <v>5.6</v>
          </cell>
          <cell r="V164">
            <v>8</v>
          </cell>
          <cell r="W164">
            <v>8</v>
          </cell>
          <cell r="X164">
            <v>0</v>
          </cell>
          <cell r="Y164">
            <v>6</v>
          </cell>
          <cell r="Z164">
            <v>0</v>
          </cell>
        </row>
        <row r="165">
          <cell r="A165">
            <v>43164</v>
          </cell>
          <cell r="B165">
            <v>164</v>
          </cell>
          <cell r="C165">
            <v>16.3</v>
          </cell>
          <cell r="D165">
            <v>40.5</v>
          </cell>
          <cell r="E165">
            <v>2.4900000000000002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1.9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1.9</v>
          </cell>
          <cell r="W165">
            <v>5</v>
          </cell>
          <cell r="X165">
            <v>0</v>
          </cell>
          <cell r="Y165">
            <v>0</v>
          </cell>
          <cell r="Z165">
            <v>0</v>
          </cell>
        </row>
        <row r="166">
          <cell r="A166">
            <v>43165</v>
          </cell>
          <cell r="B166">
            <v>165</v>
          </cell>
          <cell r="C166">
            <v>9</v>
          </cell>
          <cell r="D166">
            <v>24.9</v>
          </cell>
          <cell r="E166">
            <v>2.75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1.1000000000000001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1.1000000000000001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</row>
        <row r="167">
          <cell r="A167">
            <v>43166</v>
          </cell>
          <cell r="B167">
            <v>166</v>
          </cell>
          <cell r="C167">
            <v>13.1</v>
          </cell>
          <cell r="D167">
            <v>42.4</v>
          </cell>
          <cell r="E167">
            <v>3.25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3.4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1.9</v>
          </cell>
          <cell r="V167">
            <v>1.5</v>
          </cell>
          <cell r="W167">
            <v>2</v>
          </cell>
          <cell r="X167">
            <v>0</v>
          </cell>
          <cell r="Y167">
            <v>0</v>
          </cell>
          <cell r="Z167">
            <v>0</v>
          </cell>
        </row>
        <row r="168">
          <cell r="A168">
            <v>43167</v>
          </cell>
          <cell r="B168">
            <v>167</v>
          </cell>
          <cell r="C168">
            <v>54</v>
          </cell>
          <cell r="D168">
            <v>196.1</v>
          </cell>
          <cell r="E168">
            <v>3.63</v>
          </cell>
          <cell r="F168">
            <v>1</v>
          </cell>
          <cell r="G168">
            <v>0.2</v>
          </cell>
          <cell r="H168">
            <v>0.1</v>
          </cell>
          <cell r="I168">
            <v>0.7</v>
          </cell>
          <cell r="J168">
            <v>72.7</v>
          </cell>
          <cell r="K168">
            <v>0.1</v>
          </cell>
          <cell r="L168">
            <v>0.1</v>
          </cell>
          <cell r="M168">
            <v>0</v>
          </cell>
          <cell r="N168">
            <v>0</v>
          </cell>
          <cell r="O168">
            <v>0.2</v>
          </cell>
          <cell r="P168">
            <v>0.1</v>
          </cell>
          <cell r="Q168">
            <v>0.1</v>
          </cell>
          <cell r="R168">
            <v>0.4</v>
          </cell>
          <cell r="S168">
            <v>46.8</v>
          </cell>
          <cell r="T168">
            <v>0</v>
          </cell>
          <cell r="U168">
            <v>18.5</v>
          </cell>
          <cell r="V168">
            <v>6.4</v>
          </cell>
          <cell r="W168">
            <v>8</v>
          </cell>
          <cell r="X168">
            <v>0</v>
          </cell>
          <cell r="Y168">
            <v>0</v>
          </cell>
          <cell r="Z168">
            <v>0</v>
          </cell>
        </row>
        <row r="169">
          <cell r="A169">
            <v>43168</v>
          </cell>
          <cell r="B169">
            <v>168</v>
          </cell>
          <cell r="C169">
            <v>205.8</v>
          </cell>
          <cell r="D169">
            <v>470.3</v>
          </cell>
          <cell r="E169">
            <v>2.2799999999999998</v>
          </cell>
          <cell r="F169">
            <v>11</v>
          </cell>
          <cell r="G169">
            <v>1.1000000000000001</v>
          </cell>
          <cell r="H169">
            <v>3</v>
          </cell>
          <cell r="I169">
            <v>7</v>
          </cell>
          <cell r="J169">
            <v>102.2</v>
          </cell>
          <cell r="K169">
            <v>0.5</v>
          </cell>
          <cell r="L169">
            <v>0.6</v>
          </cell>
          <cell r="M169">
            <v>0.1</v>
          </cell>
          <cell r="N169">
            <v>2.9</v>
          </cell>
          <cell r="O169">
            <v>3.1</v>
          </cell>
          <cell r="P169">
            <v>0.5</v>
          </cell>
          <cell r="Q169">
            <v>0.3</v>
          </cell>
          <cell r="R169">
            <v>3.2</v>
          </cell>
          <cell r="S169">
            <v>0</v>
          </cell>
          <cell r="T169">
            <v>0</v>
          </cell>
          <cell r="U169">
            <v>66.7</v>
          </cell>
          <cell r="V169">
            <v>24.4</v>
          </cell>
          <cell r="W169">
            <v>18</v>
          </cell>
          <cell r="X169">
            <v>0</v>
          </cell>
          <cell r="Y169">
            <v>0</v>
          </cell>
          <cell r="Z169">
            <v>0</v>
          </cell>
        </row>
        <row r="170">
          <cell r="A170">
            <v>43169</v>
          </cell>
          <cell r="B170">
            <v>169</v>
          </cell>
          <cell r="C170">
            <v>67.099999999999994</v>
          </cell>
          <cell r="D170">
            <v>158</v>
          </cell>
          <cell r="E170">
            <v>2.35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117.4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109.4</v>
          </cell>
          <cell r="V170">
            <v>8</v>
          </cell>
          <cell r="W170">
            <v>5</v>
          </cell>
          <cell r="X170">
            <v>0</v>
          </cell>
          <cell r="Y170">
            <v>0</v>
          </cell>
          <cell r="Z170">
            <v>0</v>
          </cell>
        </row>
        <row r="171">
          <cell r="A171">
            <v>43170</v>
          </cell>
          <cell r="B171">
            <v>170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1</v>
          </cell>
          <cell r="X171">
            <v>0</v>
          </cell>
          <cell r="Y171">
            <v>0</v>
          </cell>
          <cell r="Z171">
            <v>0</v>
          </cell>
        </row>
        <row r="172">
          <cell r="A172">
            <v>43171</v>
          </cell>
          <cell r="B172">
            <v>171</v>
          </cell>
          <cell r="C172">
            <v>14</v>
          </cell>
          <cell r="D172">
            <v>38.4</v>
          </cell>
          <cell r="E172">
            <v>2.75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7.3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5.6</v>
          </cell>
          <cell r="V172">
            <v>1.7</v>
          </cell>
          <cell r="W172">
            <v>2</v>
          </cell>
          <cell r="X172">
            <v>0</v>
          </cell>
          <cell r="Y172">
            <v>0</v>
          </cell>
          <cell r="Z172">
            <v>0</v>
          </cell>
        </row>
        <row r="173">
          <cell r="A173">
            <v>43172</v>
          </cell>
          <cell r="B173">
            <v>172</v>
          </cell>
          <cell r="C173">
            <v>359.4</v>
          </cell>
          <cell r="D173">
            <v>1087.7</v>
          </cell>
          <cell r="E173">
            <v>3.03</v>
          </cell>
          <cell r="F173">
            <v>31.4</v>
          </cell>
          <cell r="G173">
            <v>2.1</v>
          </cell>
          <cell r="H173">
            <v>3.2</v>
          </cell>
          <cell r="I173">
            <v>26.1</v>
          </cell>
          <cell r="J173">
            <v>291</v>
          </cell>
          <cell r="K173">
            <v>0.9</v>
          </cell>
          <cell r="L173">
            <v>1.2</v>
          </cell>
          <cell r="M173">
            <v>0.3</v>
          </cell>
          <cell r="N173">
            <v>2.9</v>
          </cell>
          <cell r="O173">
            <v>3.6</v>
          </cell>
          <cell r="P173">
            <v>18.600000000000001</v>
          </cell>
          <cell r="Q173">
            <v>0.5</v>
          </cell>
          <cell r="R173">
            <v>3.4</v>
          </cell>
          <cell r="S173">
            <v>9.3000000000000007</v>
          </cell>
          <cell r="T173">
            <v>0</v>
          </cell>
          <cell r="U173">
            <v>207.7</v>
          </cell>
          <cell r="V173">
            <v>42.6</v>
          </cell>
          <cell r="W173">
            <v>40</v>
          </cell>
          <cell r="X173">
            <v>0</v>
          </cell>
          <cell r="Y173">
            <v>0</v>
          </cell>
          <cell r="Z173">
            <v>0</v>
          </cell>
        </row>
        <row r="174">
          <cell r="A174">
            <v>43173</v>
          </cell>
          <cell r="B174">
            <v>173</v>
          </cell>
          <cell r="C174">
            <v>9.4</v>
          </cell>
          <cell r="D174">
            <v>20.9</v>
          </cell>
          <cell r="E174">
            <v>2.2200000000000002</v>
          </cell>
          <cell r="F174">
            <v>2.4</v>
          </cell>
          <cell r="G174">
            <v>0.5</v>
          </cell>
          <cell r="H174">
            <v>0.1</v>
          </cell>
          <cell r="I174">
            <v>1.7</v>
          </cell>
          <cell r="J174">
            <v>34.299999999999997</v>
          </cell>
          <cell r="K174">
            <v>0.2</v>
          </cell>
          <cell r="L174">
            <v>0.3</v>
          </cell>
          <cell r="M174">
            <v>0.1</v>
          </cell>
          <cell r="N174">
            <v>0.1</v>
          </cell>
          <cell r="O174">
            <v>0.5</v>
          </cell>
          <cell r="P174">
            <v>0.2</v>
          </cell>
          <cell r="Q174">
            <v>0.1</v>
          </cell>
          <cell r="R174">
            <v>0.9</v>
          </cell>
          <cell r="S174">
            <v>23.4</v>
          </cell>
          <cell r="T174">
            <v>0</v>
          </cell>
          <cell r="U174">
            <v>7.4</v>
          </cell>
          <cell r="V174">
            <v>1.1000000000000001</v>
          </cell>
          <cell r="W174">
            <v>1</v>
          </cell>
          <cell r="X174">
            <v>0</v>
          </cell>
          <cell r="Y174">
            <v>0</v>
          </cell>
          <cell r="Z174">
            <v>0</v>
          </cell>
        </row>
        <row r="175">
          <cell r="A175">
            <v>43174</v>
          </cell>
          <cell r="B175">
            <v>174</v>
          </cell>
          <cell r="C175">
            <v>22.6</v>
          </cell>
          <cell r="D175">
            <v>60.9</v>
          </cell>
          <cell r="E175">
            <v>2.7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2.7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2.7</v>
          </cell>
          <cell r="W175">
            <v>10</v>
          </cell>
          <cell r="X175">
            <v>0</v>
          </cell>
          <cell r="Y175">
            <v>0</v>
          </cell>
          <cell r="Z175">
            <v>0</v>
          </cell>
        </row>
        <row r="176">
          <cell r="A176">
            <v>43175</v>
          </cell>
          <cell r="B176">
            <v>175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</row>
        <row r="177">
          <cell r="A177">
            <v>43176</v>
          </cell>
          <cell r="B177">
            <v>176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1</v>
          </cell>
          <cell r="X177">
            <v>0</v>
          </cell>
          <cell r="Y177">
            <v>0</v>
          </cell>
          <cell r="Z177">
            <v>0</v>
          </cell>
        </row>
        <row r="178">
          <cell r="A178">
            <v>43177</v>
          </cell>
          <cell r="B178">
            <v>177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</row>
        <row r="179">
          <cell r="A179">
            <v>43178</v>
          </cell>
          <cell r="B179">
            <v>178</v>
          </cell>
          <cell r="C179">
            <v>5.6</v>
          </cell>
          <cell r="D179">
            <v>14.7</v>
          </cell>
          <cell r="E179">
            <v>2.61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2.6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1.9</v>
          </cell>
          <cell r="V179">
            <v>0.7</v>
          </cell>
          <cell r="W179">
            <v>1</v>
          </cell>
          <cell r="X179">
            <v>0</v>
          </cell>
          <cell r="Y179">
            <v>0</v>
          </cell>
          <cell r="Z179">
            <v>0</v>
          </cell>
        </row>
        <row r="180">
          <cell r="A180">
            <v>43179</v>
          </cell>
          <cell r="B180">
            <v>179</v>
          </cell>
          <cell r="C180">
            <v>30.9</v>
          </cell>
          <cell r="D180">
            <v>37.1</v>
          </cell>
          <cell r="E180">
            <v>1.2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7.4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3.7</v>
          </cell>
          <cell r="V180">
            <v>3.7</v>
          </cell>
          <cell r="W180">
            <v>30</v>
          </cell>
          <cell r="X180">
            <v>113</v>
          </cell>
          <cell r="Y180">
            <v>0</v>
          </cell>
          <cell r="Z180">
            <v>0</v>
          </cell>
        </row>
        <row r="181">
          <cell r="A181">
            <v>43180</v>
          </cell>
          <cell r="B181">
            <v>180</v>
          </cell>
          <cell r="C181">
            <v>600.20000000000005</v>
          </cell>
          <cell r="D181">
            <v>1353.3</v>
          </cell>
          <cell r="E181">
            <v>2.25</v>
          </cell>
          <cell r="F181">
            <v>1532</v>
          </cell>
          <cell r="G181">
            <v>174.6</v>
          </cell>
          <cell r="H181">
            <v>58.9</v>
          </cell>
          <cell r="I181">
            <v>1298.5999999999999</v>
          </cell>
          <cell r="J181">
            <v>1606.8</v>
          </cell>
          <cell r="K181">
            <v>89.4</v>
          </cell>
          <cell r="L181">
            <v>85.2</v>
          </cell>
          <cell r="M181">
            <v>5.6</v>
          </cell>
          <cell r="N181">
            <v>53.3</v>
          </cell>
          <cell r="O181">
            <v>131.80000000000001</v>
          </cell>
          <cell r="P181">
            <v>841.8</v>
          </cell>
          <cell r="Q181">
            <v>83.7</v>
          </cell>
          <cell r="R181">
            <v>241.2</v>
          </cell>
          <cell r="S181">
            <v>0</v>
          </cell>
          <cell r="T181">
            <v>0</v>
          </cell>
          <cell r="U181">
            <v>3.7</v>
          </cell>
          <cell r="V181">
            <v>71.099999999999994</v>
          </cell>
          <cell r="W181">
            <v>67</v>
          </cell>
          <cell r="X181">
            <v>0</v>
          </cell>
          <cell r="Y181">
            <v>0</v>
          </cell>
          <cell r="Z181">
            <v>0</v>
          </cell>
        </row>
        <row r="182">
          <cell r="A182">
            <v>43181</v>
          </cell>
          <cell r="B182">
            <v>181</v>
          </cell>
          <cell r="C182">
            <v>15.4</v>
          </cell>
          <cell r="D182">
            <v>29.6</v>
          </cell>
          <cell r="E182">
            <v>1.92</v>
          </cell>
          <cell r="F182">
            <v>1.1000000000000001</v>
          </cell>
          <cell r="G182">
            <v>0</v>
          </cell>
          <cell r="H182">
            <v>1.1000000000000001</v>
          </cell>
          <cell r="I182">
            <v>0</v>
          </cell>
          <cell r="J182">
            <v>6.6</v>
          </cell>
          <cell r="K182">
            <v>0</v>
          </cell>
          <cell r="L182">
            <v>0</v>
          </cell>
          <cell r="M182">
            <v>1.1000000000000001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3.7</v>
          </cell>
          <cell r="V182">
            <v>1.8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</row>
        <row r="183">
          <cell r="A183">
            <v>43182</v>
          </cell>
          <cell r="B183">
            <v>182</v>
          </cell>
          <cell r="C183">
            <v>22</v>
          </cell>
          <cell r="D183">
            <v>57.5</v>
          </cell>
          <cell r="E183">
            <v>2.61</v>
          </cell>
          <cell r="F183">
            <v>3.7</v>
          </cell>
          <cell r="G183">
            <v>0.8</v>
          </cell>
          <cell r="H183">
            <v>0.2</v>
          </cell>
          <cell r="I183">
            <v>2.6</v>
          </cell>
          <cell r="J183">
            <v>13.7</v>
          </cell>
          <cell r="K183">
            <v>0.4</v>
          </cell>
          <cell r="L183">
            <v>0.5</v>
          </cell>
          <cell r="M183">
            <v>0.1</v>
          </cell>
          <cell r="N183">
            <v>0.1</v>
          </cell>
          <cell r="O183">
            <v>0.7</v>
          </cell>
          <cell r="P183">
            <v>0.4</v>
          </cell>
          <cell r="Q183">
            <v>0.2</v>
          </cell>
          <cell r="R183">
            <v>1.3</v>
          </cell>
          <cell r="S183">
            <v>0</v>
          </cell>
          <cell r="T183">
            <v>0</v>
          </cell>
          <cell r="U183">
            <v>7.4</v>
          </cell>
          <cell r="V183">
            <v>2.6</v>
          </cell>
          <cell r="W183">
            <v>100</v>
          </cell>
          <cell r="X183">
            <v>0</v>
          </cell>
          <cell r="Y183">
            <v>0</v>
          </cell>
          <cell r="Z183">
            <v>303</v>
          </cell>
        </row>
        <row r="184">
          <cell r="A184">
            <v>43183</v>
          </cell>
          <cell r="B184">
            <v>183</v>
          </cell>
          <cell r="C184">
            <v>25</v>
          </cell>
          <cell r="D184">
            <v>55.8</v>
          </cell>
          <cell r="E184">
            <v>2.23</v>
          </cell>
          <cell r="F184">
            <v>396.7</v>
          </cell>
          <cell r="G184">
            <v>104.6</v>
          </cell>
          <cell r="H184">
            <v>23.2</v>
          </cell>
          <cell r="I184">
            <v>268.89999999999998</v>
          </cell>
          <cell r="J184">
            <v>915.5</v>
          </cell>
          <cell r="K184">
            <v>44</v>
          </cell>
          <cell r="L184">
            <v>60.6</v>
          </cell>
          <cell r="M184">
            <v>10.3</v>
          </cell>
          <cell r="N184">
            <v>12.9</v>
          </cell>
          <cell r="O184">
            <v>70.7</v>
          </cell>
          <cell r="P184">
            <v>36.799999999999997</v>
          </cell>
          <cell r="Q184">
            <v>21.9</v>
          </cell>
          <cell r="R184">
            <v>139.5</v>
          </cell>
          <cell r="S184">
            <v>46.8</v>
          </cell>
          <cell r="T184">
            <v>0</v>
          </cell>
          <cell r="U184">
            <v>469.1</v>
          </cell>
          <cell r="V184">
            <v>3</v>
          </cell>
          <cell r="W184">
            <v>0</v>
          </cell>
          <cell r="X184">
            <v>0</v>
          </cell>
          <cell r="Y184">
            <v>0</v>
          </cell>
          <cell r="Z184">
            <v>60</v>
          </cell>
        </row>
        <row r="185">
          <cell r="A185">
            <v>43184</v>
          </cell>
          <cell r="B185">
            <v>184</v>
          </cell>
          <cell r="C185">
            <v>488.5</v>
          </cell>
          <cell r="D185">
            <v>1369.5</v>
          </cell>
          <cell r="E185">
            <v>2.8</v>
          </cell>
          <cell r="F185">
            <v>294.2</v>
          </cell>
          <cell r="G185">
            <v>71.400000000000006</v>
          </cell>
          <cell r="H185">
            <v>14.4</v>
          </cell>
          <cell r="I185">
            <v>208.4</v>
          </cell>
          <cell r="J185">
            <v>355.8</v>
          </cell>
          <cell r="K185">
            <v>46.1</v>
          </cell>
          <cell r="L185">
            <v>25.3</v>
          </cell>
          <cell r="M185">
            <v>7.2</v>
          </cell>
          <cell r="N185">
            <v>7.2</v>
          </cell>
          <cell r="O185">
            <v>41.2</v>
          </cell>
          <cell r="P185">
            <v>60.6</v>
          </cell>
          <cell r="Q185">
            <v>21.9</v>
          </cell>
          <cell r="R185">
            <v>84.7</v>
          </cell>
          <cell r="S185">
            <v>0</v>
          </cell>
          <cell r="T185">
            <v>0</v>
          </cell>
          <cell r="U185">
            <v>3.7</v>
          </cell>
          <cell r="V185">
            <v>57.9</v>
          </cell>
          <cell r="W185">
            <v>69</v>
          </cell>
          <cell r="X185">
            <v>0</v>
          </cell>
          <cell r="Y185">
            <v>0</v>
          </cell>
          <cell r="Z185">
            <v>0</v>
          </cell>
        </row>
        <row r="186">
          <cell r="A186">
            <v>43185</v>
          </cell>
          <cell r="B186">
            <v>185</v>
          </cell>
          <cell r="C186">
            <v>121.8</v>
          </cell>
          <cell r="D186">
            <v>258.7</v>
          </cell>
          <cell r="E186">
            <v>2.12</v>
          </cell>
          <cell r="F186">
            <v>22.8</v>
          </cell>
          <cell r="G186">
            <v>1</v>
          </cell>
          <cell r="H186">
            <v>4.8</v>
          </cell>
          <cell r="I186">
            <v>17</v>
          </cell>
          <cell r="J186">
            <v>96.9</v>
          </cell>
          <cell r="K186">
            <v>0.5</v>
          </cell>
          <cell r="L186">
            <v>0.6</v>
          </cell>
          <cell r="M186">
            <v>0.1</v>
          </cell>
          <cell r="N186">
            <v>4.5999999999999996</v>
          </cell>
          <cell r="O186">
            <v>14.6</v>
          </cell>
          <cell r="P186">
            <v>0.4</v>
          </cell>
          <cell r="Q186">
            <v>0.3</v>
          </cell>
          <cell r="R186">
            <v>1.7</v>
          </cell>
          <cell r="S186">
            <v>46.8</v>
          </cell>
          <cell r="T186">
            <v>0</v>
          </cell>
          <cell r="U186">
            <v>13</v>
          </cell>
          <cell r="V186">
            <v>14.4</v>
          </cell>
          <cell r="W186">
            <v>16</v>
          </cell>
          <cell r="X186">
            <v>0</v>
          </cell>
          <cell r="Y186">
            <v>0</v>
          </cell>
          <cell r="Z186">
            <v>0</v>
          </cell>
        </row>
        <row r="187">
          <cell r="A187">
            <v>43186</v>
          </cell>
          <cell r="B187">
            <v>186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</row>
        <row r="188">
          <cell r="A188">
            <v>43187</v>
          </cell>
          <cell r="B188">
            <v>187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</row>
        <row r="189">
          <cell r="A189">
            <v>43188</v>
          </cell>
          <cell r="B189">
            <v>188</v>
          </cell>
          <cell r="C189">
            <v>7.9</v>
          </cell>
          <cell r="D189">
            <v>15.2</v>
          </cell>
          <cell r="E189">
            <v>1.92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2.8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1.9</v>
          </cell>
          <cell r="V189">
            <v>0.9</v>
          </cell>
          <cell r="W189">
            <v>2</v>
          </cell>
          <cell r="X189">
            <v>0</v>
          </cell>
          <cell r="Y189">
            <v>0</v>
          </cell>
          <cell r="Z189">
            <v>0</v>
          </cell>
        </row>
        <row r="190">
          <cell r="A190">
            <v>43189</v>
          </cell>
          <cell r="B190">
            <v>189</v>
          </cell>
          <cell r="C190">
            <v>14</v>
          </cell>
          <cell r="D190">
            <v>33.200000000000003</v>
          </cell>
          <cell r="E190">
            <v>2.38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5.4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3.7</v>
          </cell>
          <cell r="V190">
            <v>1.7</v>
          </cell>
          <cell r="W190">
            <v>3</v>
          </cell>
          <cell r="X190">
            <v>0</v>
          </cell>
          <cell r="Y190">
            <v>0</v>
          </cell>
          <cell r="Z190">
            <v>0</v>
          </cell>
        </row>
        <row r="191">
          <cell r="A191">
            <v>43190</v>
          </cell>
          <cell r="B191">
            <v>190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1</v>
          </cell>
          <cell r="X191">
            <v>0</v>
          </cell>
          <cell r="Y191">
            <v>0</v>
          </cell>
          <cell r="Z191">
            <v>0</v>
          </cell>
        </row>
        <row r="192">
          <cell r="A192">
            <v>43191</v>
          </cell>
          <cell r="B192">
            <v>191</v>
          </cell>
          <cell r="C192">
            <v>22.4</v>
          </cell>
          <cell r="D192">
            <v>67.099999999999994</v>
          </cell>
          <cell r="E192">
            <v>2.99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8.3000000000000007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5.6</v>
          </cell>
          <cell r="V192">
            <v>2.7</v>
          </cell>
          <cell r="W192">
            <v>7</v>
          </cell>
          <cell r="X192">
            <v>0</v>
          </cell>
          <cell r="Y192">
            <v>0</v>
          </cell>
          <cell r="Z192">
            <v>0</v>
          </cell>
        </row>
        <row r="193">
          <cell r="A193">
            <v>43192</v>
          </cell>
          <cell r="B193">
            <v>192</v>
          </cell>
          <cell r="C193">
            <v>48.4</v>
          </cell>
          <cell r="D193">
            <v>156.80000000000001</v>
          </cell>
          <cell r="E193">
            <v>3.24</v>
          </cell>
          <cell r="F193">
            <v>8.3000000000000007</v>
          </cell>
          <cell r="G193">
            <v>2</v>
          </cell>
          <cell r="H193">
            <v>0.3</v>
          </cell>
          <cell r="I193">
            <v>5.9</v>
          </cell>
          <cell r="J193">
            <v>64.5</v>
          </cell>
          <cell r="K193">
            <v>1.4</v>
          </cell>
          <cell r="L193">
            <v>0.7</v>
          </cell>
          <cell r="M193">
            <v>0.1</v>
          </cell>
          <cell r="N193">
            <v>0.2</v>
          </cell>
          <cell r="O193">
            <v>3.2</v>
          </cell>
          <cell r="P193">
            <v>0.5</v>
          </cell>
          <cell r="Q193">
            <v>0.3</v>
          </cell>
          <cell r="R193">
            <v>1.9</v>
          </cell>
          <cell r="S193">
            <v>46.8</v>
          </cell>
          <cell r="T193">
            <v>0</v>
          </cell>
          <cell r="U193">
            <v>3.7</v>
          </cell>
          <cell r="V193">
            <v>5.7</v>
          </cell>
          <cell r="W193">
            <v>6</v>
          </cell>
          <cell r="X193">
            <v>0</v>
          </cell>
          <cell r="Y193">
            <v>0</v>
          </cell>
          <cell r="Z193">
            <v>0</v>
          </cell>
        </row>
        <row r="194">
          <cell r="A194">
            <v>43193</v>
          </cell>
          <cell r="B194">
            <v>193</v>
          </cell>
          <cell r="C194">
            <v>91.7</v>
          </cell>
          <cell r="D194">
            <v>168.6</v>
          </cell>
          <cell r="E194">
            <v>1.84</v>
          </cell>
          <cell r="F194">
            <v>65.7</v>
          </cell>
          <cell r="G194">
            <v>0.7</v>
          </cell>
          <cell r="H194">
            <v>58.8</v>
          </cell>
          <cell r="I194">
            <v>6.1</v>
          </cell>
          <cell r="J194">
            <v>128.9</v>
          </cell>
          <cell r="K194">
            <v>0.3</v>
          </cell>
          <cell r="L194">
            <v>0.4</v>
          </cell>
          <cell r="M194">
            <v>58.7</v>
          </cell>
          <cell r="N194">
            <v>0.1</v>
          </cell>
          <cell r="O194">
            <v>4.4000000000000004</v>
          </cell>
          <cell r="P194">
            <v>0.3</v>
          </cell>
          <cell r="Q194">
            <v>0.2</v>
          </cell>
          <cell r="R194">
            <v>1.2</v>
          </cell>
          <cell r="S194">
            <v>46.8</v>
          </cell>
          <cell r="T194">
            <v>0</v>
          </cell>
          <cell r="U194">
            <v>5.6</v>
          </cell>
          <cell r="V194">
            <v>10.9</v>
          </cell>
          <cell r="W194">
            <v>19</v>
          </cell>
          <cell r="X194">
            <v>0</v>
          </cell>
          <cell r="Y194">
            <v>0</v>
          </cell>
          <cell r="Z194">
            <v>0</v>
          </cell>
        </row>
        <row r="195">
          <cell r="A195">
            <v>43194</v>
          </cell>
          <cell r="B195">
            <v>194</v>
          </cell>
          <cell r="C195">
            <v>8.6</v>
          </cell>
          <cell r="D195">
            <v>21.1</v>
          </cell>
          <cell r="E195">
            <v>2.46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2.9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1.9</v>
          </cell>
          <cell r="V195">
            <v>1</v>
          </cell>
          <cell r="W195">
            <v>1</v>
          </cell>
          <cell r="X195">
            <v>0</v>
          </cell>
          <cell r="Y195">
            <v>0</v>
          </cell>
          <cell r="Z195">
            <v>0</v>
          </cell>
        </row>
        <row r="196">
          <cell r="A196">
            <v>43195</v>
          </cell>
          <cell r="B196">
            <v>195</v>
          </cell>
          <cell r="C196">
            <v>1.9</v>
          </cell>
          <cell r="D196">
            <v>3.1</v>
          </cell>
          <cell r="E196">
            <v>1.58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0.2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0.2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</row>
        <row r="197">
          <cell r="A197">
            <v>43196</v>
          </cell>
          <cell r="B197">
            <v>196</v>
          </cell>
          <cell r="C197">
            <v>14.1</v>
          </cell>
          <cell r="D197">
            <v>28.8</v>
          </cell>
          <cell r="E197">
            <v>2.0499999999999998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3.6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1.9</v>
          </cell>
          <cell r="V197">
            <v>1.7</v>
          </cell>
          <cell r="W197">
            <v>5</v>
          </cell>
          <cell r="X197">
            <v>0</v>
          </cell>
          <cell r="Y197">
            <v>0</v>
          </cell>
          <cell r="Z197">
            <v>0</v>
          </cell>
        </row>
        <row r="198">
          <cell r="A198">
            <v>43197</v>
          </cell>
          <cell r="B198">
            <v>197</v>
          </cell>
          <cell r="C198">
            <v>43.2</v>
          </cell>
          <cell r="D198">
            <v>116.5</v>
          </cell>
          <cell r="E198">
            <v>2.69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10.7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5.6</v>
          </cell>
          <cell r="V198">
            <v>5.0999999999999996</v>
          </cell>
          <cell r="W198">
            <v>7</v>
          </cell>
          <cell r="X198">
            <v>0</v>
          </cell>
          <cell r="Y198">
            <v>0</v>
          </cell>
          <cell r="Z198">
            <v>0</v>
          </cell>
        </row>
        <row r="199">
          <cell r="A199">
            <v>43198</v>
          </cell>
          <cell r="B199">
            <v>198</v>
          </cell>
          <cell r="C199">
            <v>91</v>
          </cell>
          <cell r="D199">
            <v>216</v>
          </cell>
          <cell r="E199">
            <v>2.37</v>
          </cell>
          <cell r="F199">
            <v>55.6</v>
          </cell>
          <cell r="G199">
            <v>0.4</v>
          </cell>
          <cell r="H199">
            <v>0.1</v>
          </cell>
          <cell r="I199">
            <v>55.1</v>
          </cell>
          <cell r="J199">
            <v>122.5</v>
          </cell>
          <cell r="K199">
            <v>0.2</v>
          </cell>
          <cell r="L199">
            <v>0.2</v>
          </cell>
          <cell r="M199">
            <v>0.1</v>
          </cell>
          <cell r="N199">
            <v>0.1</v>
          </cell>
          <cell r="O199">
            <v>54.1</v>
          </cell>
          <cell r="P199">
            <v>0.2</v>
          </cell>
          <cell r="Q199">
            <v>0.1</v>
          </cell>
          <cell r="R199">
            <v>0.7</v>
          </cell>
          <cell r="S199">
            <v>46.8</v>
          </cell>
          <cell r="T199">
            <v>0</v>
          </cell>
          <cell r="U199">
            <v>9.3000000000000007</v>
          </cell>
          <cell r="V199">
            <v>10.8</v>
          </cell>
          <cell r="W199">
            <v>9</v>
          </cell>
          <cell r="X199">
            <v>0</v>
          </cell>
          <cell r="Y199">
            <v>0</v>
          </cell>
          <cell r="Z199">
            <v>0</v>
          </cell>
        </row>
        <row r="200">
          <cell r="A200">
            <v>43199</v>
          </cell>
          <cell r="B200">
            <v>199</v>
          </cell>
          <cell r="C200">
            <v>21.8</v>
          </cell>
          <cell r="D200">
            <v>34.5</v>
          </cell>
          <cell r="E200">
            <v>1.58</v>
          </cell>
          <cell r="F200">
            <v>6.9</v>
          </cell>
          <cell r="G200">
            <v>1.1000000000000001</v>
          </cell>
          <cell r="H200">
            <v>0.3</v>
          </cell>
          <cell r="I200">
            <v>5.5</v>
          </cell>
          <cell r="J200">
            <v>13.2</v>
          </cell>
          <cell r="K200">
            <v>0.5</v>
          </cell>
          <cell r="L200">
            <v>0.6</v>
          </cell>
          <cell r="M200">
            <v>0.1</v>
          </cell>
          <cell r="N200">
            <v>0.2</v>
          </cell>
          <cell r="O200">
            <v>3</v>
          </cell>
          <cell r="P200">
            <v>0.5</v>
          </cell>
          <cell r="Q200">
            <v>0.3</v>
          </cell>
          <cell r="R200">
            <v>1.8</v>
          </cell>
          <cell r="S200">
            <v>0</v>
          </cell>
          <cell r="T200">
            <v>0</v>
          </cell>
          <cell r="U200">
            <v>3.7</v>
          </cell>
          <cell r="V200">
            <v>2.6</v>
          </cell>
          <cell r="W200">
            <v>1</v>
          </cell>
          <cell r="X200">
            <v>0</v>
          </cell>
          <cell r="Y200">
            <v>0</v>
          </cell>
          <cell r="Z200">
            <v>0</v>
          </cell>
        </row>
        <row r="201">
          <cell r="A201">
            <v>43200</v>
          </cell>
          <cell r="B201">
            <v>200</v>
          </cell>
          <cell r="C201">
            <v>18.2</v>
          </cell>
          <cell r="D201">
            <v>38.799999999999997</v>
          </cell>
          <cell r="E201">
            <v>2.13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29.9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24</v>
          </cell>
          <cell r="U201">
            <v>3.7</v>
          </cell>
          <cell r="V201">
            <v>2.2000000000000002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</row>
        <row r="202">
          <cell r="A202">
            <v>43201</v>
          </cell>
          <cell r="B202">
            <v>201</v>
          </cell>
          <cell r="C202">
            <v>2.9</v>
          </cell>
          <cell r="D202">
            <v>4.5999999999999996</v>
          </cell>
          <cell r="E202">
            <v>1.58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0.3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0.3</v>
          </cell>
          <cell r="W202">
            <v>11</v>
          </cell>
          <cell r="X202">
            <v>0</v>
          </cell>
          <cell r="Y202">
            <v>0</v>
          </cell>
          <cell r="Z202">
            <v>0</v>
          </cell>
        </row>
        <row r="203">
          <cell r="A203">
            <v>43202</v>
          </cell>
          <cell r="B203">
            <v>202</v>
          </cell>
          <cell r="C203">
            <v>30.6</v>
          </cell>
          <cell r="D203">
            <v>66.900000000000006</v>
          </cell>
          <cell r="E203">
            <v>2.19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9.1999999999999993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5.6</v>
          </cell>
          <cell r="V203">
            <v>3.6</v>
          </cell>
          <cell r="W203">
            <v>7</v>
          </cell>
          <cell r="X203">
            <v>0</v>
          </cell>
          <cell r="Y203">
            <v>0</v>
          </cell>
          <cell r="Z203">
            <v>0</v>
          </cell>
        </row>
        <row r="204">
          <cell r="A204">
            <v>43203</v>
          </cell>
          <cell r="B204">
            <v>203</v>
          </cell>
          <cell r="C204">
            <v>51</v>
          </cell>
          <cell r="D204">
            <v>156.6</v>
          </cell>
          <cell r="E204">
            <v>3.07</v>
          </cell>
          <cell r="F204">
            <v>66.2</v>
          </cell>
          <cell r="G204">
            <v>0.5</v>
          </cell>
          <cell r="H204">
            <v>0.1</v>
          </cell>
          <cell r="I204">
            <v>65.5</v>
          </cell>
          <cell r="J204">
            <v>97.5</v>
          </cell>
          <cell r="K204">
            <v>0.2</v>
          </cell>
          <cell r="L204">
            <v>0.3</v>
          </cell>
          <cell r="M204">
            <v>0.1</v>
          </cell>
          <cell r="N204">
            <v>0.1</v>
          </cell>
          <cell r="O204">
            <v>64.3</v>
          </cell>
          <cell r="P204">
            <v>0.2</v>
          </cell>
          <cell r="Q204">
            <v>0.1</v>
          </cell>
          <cell r="R204">
            <v>0.9</v>
          </cell>
          <cell r="S204">
            <v>23.4</v>
          </cell>
          <cell r="T204">
            <v>0</v>
          </cell>
          <cell r="U204">
            <v>1.9</v>
          </cell>
          <cell r="V204">
            <v>6</v>
          </cell>
          <cell r="W204">
            <v>8</v>
          </cell>
          <cell r="X204">
            <v>0</v>
          </cell>
          <cell r="Y204">
            <v>0</v>
          </cell>
          <cell r="Z204">
            <v>0</v>
          </cell>
        </row>
        <row r="205">
          <cell r="A205">
            <v>43204</v>
          </cell>
          <cell r="B205">
            <v>204</v>
          </cell>
          <cell r="C205">
            <v>49.7</v>
          </cell>
          <cell r="D205">
            <v>108.2</v>
          </cell>
          <cell r="E205">
            <v>2.1800000000000002</v>
          </cell>
          <cell r="F205">
            <v>88.8</v>
          </cell>
          <cell r="G205">
            <v>0.9</v>
          </cell>
          <cell r="H205">
            <v>0.2</v>
          </cell>
          <cell r="I205">
            <v>87.7</v>
          </cell>
          <cell r="J205">
            <v>121.8</v>
          </cell>
          <cell r="K205">
            <v>0.4</v>
          </cell>
          <cell r="L205">
            <v>0.5</v>
          </cell>
          <cell r="M205">
            <v>0.1</v>
          </cell>
          <cell r="N205">
            <v>0.1</v>
          </cell>
          <cell r="O205">
            <v>19.600000000000001</v>
          </cell>
          <cell r="P205">
            <v>0.4</v>
          </cell>
          <cell r="Q205">
            <v>0.2</v>
          </cell>
          <cell r="R205">
            <v>67.5</v>
          </cell>
          <cell r="S205">
            <v>23.4</v>
          </cell>
          <cell r="T205">
            <v>0</v>
          </cell>
          <cell r="U205">
            <v>3.7</v>
          </cell>
          <cell r="V205">
            <v>5.9</v>
          </cell>
          <cell r="W205">
            <v>6</v>
          </cell>
          <cell r="X205">
            <v>0</v>
          </cell>
          <cell r="Y205">
            <v>0</v>
          </cell>
          <cell r="Z205">
            <v>0</v>
          </cell>
        </row>
        <row r="206">
          <cell r="A206">
            <v>43205</v>
          </cell>
          <cell r="B206">
            <v>205</v>
          </cell>
          <cell r="C206">
            <v>11.9</v>
          </cell>
          <cell r="D206">
            <v>26.9</v>
          </cell>
          <cell r="E206">
            <v>2.27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3.3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1.9</v>
          </cell>
          <cell r="V206">
            <v>1.4</v>
          </cell>
          <cell r="W206">
            <v>2</v>
          </cell>
          <cell r="X206">
            <v>0</v>
          </cell>
          <cell r="Y206">
            <v>0</v>
          </cell>
          <cell r="Z206">
            <v>0</v>
          </cell>
        </row>
        <row r="207">
          <cell r="A207">
            <v>43206</v>
          </cell>
          <cell r="B207">
            <v>206</v>
          </cell>
          <cell r="C207">
            <v>19.399999999999999</v>
          </cell>
          <cell r="D207">
            <v>45.1</v>
          </cell>
          <cell r="E207">
            <v>2.3199999999999998</v>
          </cell>
          <cell r="F207">
            <v>13.3</v>
          </cell>
          <cell r="G207">
            <v>0.2</v>
          </cell>
          <cell r="H207">
            <v>12.6</v>
          </cell>
          <cell r="I207">
            <v>0.5</v>
          </cell>
          <cell r="J207">
            <v>17.399999999999999</v>
          </cell>
          <cell r="K207">
            <v>0.1</v>
          </cell>
          <cell r="L207">
            <v>0.1</v>
          </cell>
          <cell r="M207">
            <v>12.6</v>
          </cell>
          <cell r="N207">
            <v>0</v>
          </cell>
          <cell r="O207">
            <v>0.1</v>
          </cell>
          <cell r="P207">
            <v>0.1</v>
          </cell>
          <cell r="Q207">
            <v>0</v>
          </cell>
          <cell r="R207">
            <v>0.2</v>
          </cell>
          <cell r="S207">
            <v>0</v>
          </cell>
          <cell r="T207">
            <v>0</v>
          </cell>
          <cell r="U207">
            <v>1.9</v>
          </cell>
          <cell r="V207">
            <v>2.2999999999999998</v>
          </cell>
          <cell r="W207">
            <v>3</v>
          </cell>
          <cell r="X207">
            <v>0</v>
          </cell>
          <cell r="Y207">
            <v>0</v>
          </cell>
          <cell r="Z207">
            <v>0</v>
          </cell>
        </row>
        <row r="208">
          <cell r="A208">
            <v>43207</v>
          </cell>
          <cell r="B208">
            <v>207</v>
          </cell>
          <cell r="C208">
            <v>153</v>
          </cell>
          <cell r="D208">
            <v>295.5</v>
          </cell>
          <cell r="E208">
            <v>1.93</v>
          </cell>
          <cell r="F208">
            <v>70</v>
          </cell>
          <cell r="G208">
            <v>53.6</v>
          </cell>
          <cell r="H208">
            <v>3.3</v>
          </cell>
          <cell r="I208">
            <v>13.1</v>
          </cell>
          <cell r="J208">
            <v>121.5</v>
          </cell>
          <cell r="K208">
            <v>1.3</v>
          </cell>
          <cell r="L208">
            <v>52.3</v>
          </cell>
          <cell r="M208">
            <v>0.4</v>
          </cell>
          <cell r="N208">
            <v>2.9</v>
          </cell>
          <cell r="O208">
            <v>6.4</v>
          </cell>
          <cell r="P208">
            <v>1.3</v>
          </cell>
          <cell r="Q208">
            <v>0.7</v>
          </cell>
          <cell r="R208">
            <v>4.8</v>
          </cell>
          <cell r="S208">
            <v>0</v>
          </cell>
          <cell r="T208">
            <v>0</v>
          </cell>
          <cell r="U208">
            <v>33.4</v>
          </cell>
          <cell r="V208">
            <v>18.100000000000001</v>
          </cell>
          <cell r="W208">
            <v>0</v>
          </cell>
          <cell r="X208">
            <v>317</v>
          </cell>
          <cell r="Y208">
            <v>0</v>
          </cell>
          <cell r="Z208">
            <v>0</v>
          </cell>
        </row>
        <row r="209">
          <cell r="A209">
            <v>43208</v>
          </cell>
          <cell r="B209">
            <v>208</v>
          </cell>
          <cell r="C209">
            <v>51.7</v>
          </cell>
          <cell r="D209">
            <v>113.6</v>
          </cell>
          <cell r="E209">
            <v>2.2000000000000002</v>
          </cell>
          <cell r="F209">
            <v>60.5</v>
          </cell>
          <cell r="G209">
            <v>0.8</v>
          </cell>
          <cell r="H209">
            <v>57.3</v>
          </cell>
          <cell r="I209">
            <v>2.4</v>
          </cell>
          <cell r="J209">
            <v>68.7</v>
          </cell>
          <cell r="K209">
            <v>0.4</v>
          </cell>
          <cell r="L209">
            <v>0.4</v>
          </cell>
          <cell r="M209">
            <v>0.1</v>
          </cell>
          <cell r="N209">
            <v>57.2</v>
          </cell>
          <cell r="O209">
            <v>0.6</v>
          </cell>
          <cell r="P209">
            <v>0.3</v>
          </cell>
          <cell r="Q209">
            <v>0.2</v>
          </cell>
          <cell r="R209">
            <v>1.3</v>
          </cell>
          <cell r="S209">
            <v>0.2</v>
          </cell>
          <cell r="T209">
            <v>0.1</v>
          </cell>
          <cell r="U209">
            <v>1.9</v>
          </cell>
          <cell r="V209">
            <v>6.1</v>
          </cell>
          <cell r="W209">
            <v>14</v>
          </cell>
          <cell r="X209">
            <v>0</v>
          </cell>
          <cell r="Y209">
            <v>0</v>
          </cell>
          <cell r="Z209">
            <v>0</v>
          </cell>
        </row>
        <row r="210">
          <cell r="A210">
            <v>43209</v>
          </cell>
          <cell r="B210">
            <v>209</v>
          </cell>
          <cell r="C210">
            <v>15.9</v>
          </cell>
          <cell r="D210">
            <v>40.299999999999997</v>
          </cell>
          <cell r="E210">
            <v>2.54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1.9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1.9</v>
          </cell>
          <cell r="W210">
            <v>4</v>
          </cell>
          <cell r="X210">
            <v>0</v>
          </cell>
          <cell r="Y210">
            <v>0</v>
          </cell>
          <cell r="Z210">
            <v>0</v>
          </cell>
        </row>
        <row r="211">
          <cell r="A211">
            <v>43210</v>
          </cell>
          <cell r="B211">
            <v>210</v>
          </cell>
          <cell r="C211">
            <v>8.6</v>
          </cell>
          <cell r="D211">
            <v>22.3</v>
          </cell>
          <cell r="E211">
            <v>2.61</v>
          </cell>
          <cell r="F211">
            <v>11</v>
          </cell>
          <cell r="G211">
            <v>0.7</v>
          </cell>
          <cell r="H211">
            <v>0.2</v>
          </cell>
          <cell r="I211">
            <v>10</v>
          </cell>
          <cell r="J211">
            <v>12</v>
          </cell>
          <cell r="K211">
            <v>0.3</v>
          </cell>
          <cell r="L211">
            <v>0.4</v>
          </cell>
          <cell r="M211">
            <v>0.1</v>
          </cell>
          <cell r="N211">
            <v>0.1</v>
          </cell>
          <cell r="O211">
            <v>0.6</v>
          </cell>
          <cell r="P211">
            <v>8.1</v>
          </cell>
          <cell r="Q211">
            <v>0.2</v>
          </cell>
          <cell r="R211">
            <v>1.1000000000000001</v>
          </cell>
          <cell r="S211">
            <v>0</v>
          </cell>
          <cell r="T211">
            <v>0</v>
          </cell>
          <cell r="U211">
            <v>0</v>
          </cell>
          <cell r="V211">
            <v>1</v>
          </cell>
          <cell r="W211">
            <v>1</v>
          </cell>
          <cell r="X211">
            <v>0</v>
          </cell>
          <cell r="Y211">
            <v>0</v>
          </cell>
          <cell r="Z211">
            <v>0</v>
          </cell>
        </row>
        <row r="212">
          <cell r="A212">
            <v>43211</v>
          </cell>
          <cell r="B212">
            <v>211</v>
          </cell>
          <cell r="C212">
            <v>50.1</v>
          </cell>
          <cell r="D212">
            <v>78.3</v>
          </cell>
          <cell r="E212">
            <v>1.56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31.1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23.4</v>
          </cell>
          <cell r="T212">
            <v>0</v>
          </cell>
          <cell r="U212">
            <v>1.9</v>
          </cell>
          <cell r="V212">
            <v>5.9</v>
          </cell>
          <cell r="W212">
            <v>19</v>
          </cell>
          <cell r="X212">
            <v>0</v>
          </cell>
          <cell r="Y212">
            <v>0</v>
          </cell>
          <cell r="Z212">
            <v>0</v>
          </cell>
        </row>
        <row r="213">
          <cell r="A213">
            <v>43212</v>
          </cell>
          <cell r="B213">
            <v>212</v>
          </cell>
          <cell r="C213">
            <v>8.9</v>
          </cell>
          <cell r="D213">
            <v>22.3</v>
          </cell>
          <cell r="E213">
            <v>2.4900000000000002</v>
          </cell>
          <cell r="F213">
            <v>6.4</v>
          </cell>
          <cell r="G213">
            <v>0.3</v>
          </cell>
          <cell r="H213">
            <v>0.1</v>
          </cell>
          <cell r="I213">
            <v>6</v>
          </cell>
          <cell r="J213">
            <v>7.5</v>
          </cell>
          <cell r="K213">
            <v>0.1</v>
          </cell>
          <cell r="L213">
            <v>0.1</v>
          </cell>
          <cell r="M213">
            <v>0</v>
          </cell>
          <cell r="N213">
            <v>0</v>
          </cell>
          <cell r="O213">
            <v>0.2</v>
          </cell>
          <cell r="P213">
            <v>5.3</v>
          </cell>
          <cell r="Q213">
            <v>0.1</v>
          </cell>
          <cell r="R213">
            <v>0.4</v>
          </cell>
          <cell r="S213">
            <v>0</v>
          </cell>
          <cell r="T213">
            <v>0</v>
          </cell>
          <cell r="U213">
            <v>0</v>
          </cell>
          <cell r="V213">
            <v>1.1000000000000001</v>
          </cell>
          <cell r="W213">
            <v>1</v>
          </cell>
          <cell r="X213">
            <v>0</v>
          </cell>
          <cell r="Y213">
            <v>0</v>
          </cell>
          <cell r="Z213">
            <v>0</v>
          </cell>
        </row>
        <row r="214">
          <cell r="A214">
            <v>43213</v>
          </cell>
          <cell r="B214">
            <v>213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2</v>
          </cell>
          <cell r="X214">
            <v>0</v>
          </cell>
          <cell r="Y214">
            <v>0</v>
          </cell>
          <cell r="Z214">
            <v>0</v>
          </cell>
        </row>
        <row r="215">
          <cell r="A215">
            <v>43214</v>
          </cell>
          <cell r="B215">
            <v>214</v>
          </cell>
          <cell r="C215">
            <v>16.3</v>
          </cell>
          <cell r="D215">
            <v>19.5</v>
          </cell>
          <cell r="E215">
            <v>1.2</v>
          </cell>
          <cell r="F215">
            <v>1.7</v>
          </cell>
          <cell r="G215">
            <v>0</v>
          </cell>
          <cell r="H215">
            <v>0</v>
          </cell>
          <cell r="I215">
            <v>1.7</v>
          </cell>
          <cell r="J215">
            <v>5.5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1.7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1.9</v>
          </cell>
          <cell r="V215">
            <v>1.9</v>
          </cell>
          <cell r="W215">
            <v>7</v>
          </cell>
          <cell r="X215">
            <v>0</v>
          </cell>
          <cell r="Y215">
            <v>0</v>
          </cell>
          <cell r="Z215">
            <v>0</v>
          </cell>
        </row>
        <row r="216">
          <cell r="A216">
            <v>43215</v>
          </cell>
          <cell r="B216">
            <v>215</v>
          </cell>
          <cell r="C216">
            <v>92.8</v>
          </cell>
          <cell r="D216">
            <v>136</v>
          </cell>
          <cell r="E216">
            <v>1.47</v>
          </cell>
          <cell r="F216">
            <v>2.8</v>
          </cell>
          <cell r="G216">
            <v>0</v>
          </cell>
          <cell r="H216">
            <v>0.9</v>
          </cell>
          <cell r="I216">
            <v>1.9</v>
          </cell>
          <cell r="J216">
            <v>26.8</v>
          </cell>
          <cell r="K216">
            <v>0</v>
          </cell>
          <cell r="L216">
            <v>0</v>
          </cell>
          <cell r="M216">
            <v>0.9</v>
          </cell>
          <cell r="N216">
            <v>0</v>
          </cell>
          <cell r="O216">
            <v>1.9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13</v>
          </cell>
          <cell r="V216">
            <v>11</v>
          </cell>
          <cell r="W216">
            <v>0</v>
          </cell>
          <cell r="X216">
            <v>71</v>
          </cell>
          <cell r="Y216">
            <v>0</v>
          </cell>
          <cell r="Z216">
            <v>0</v>
          </cell>
        </row>
        <row r="217">
          <cell r="A217">
            <v>43216</v>
          </cell>
          <cell r="B217">
            <v>216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</row>
        <row r="218">
          <cell r="A218">
            <v>43217</v>
          </cell>
          <cell r="B218">
            <v>217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2</v>
          </cell>
          <cell r="X218">
            <v>0</v>
          </cell>
          <cell r="Y218">
            <v>0</v>
          </cell>
          <cell r="Z218">
            <v>0</v>
          </cell>
        </row>
        <row r="219">
          <cell r="A219">
            <v>43218</v>
          </cell>
          <cell r="B219">
            <v>218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1</v>
          </cell>
          <cell r="X219">
            <v>0</v>
          </cell>
          <cell r="Y219">
            <v>0</v>
          </cell>
          <cell r="Z219">
            <v>0</v>
          </cell>
        </row>
        <row r="220">
          <cell r="A220">
            <v>43219</v>
          </cell>
          <cell r="B220">
            <v>219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19.2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19.2</v>
          </cell>
          <cell r="U220">
            <v>0</v>
          </cell>
          <cell r="V220">
            <v>0</v>
          </cell>
          <cell r="W220">
            <v>8</v>
          </cell>
          <cell r="X220">
            <v>5</v>
          </cell>
          <cell r="Y220">
            <v>0</v>
          </cell>
          <cell r="Z220">
            <v>0</v>
          </cell>
        </row>
        <row r="221">
          <cell r="A221">
            <v>43220</v>
          </cell>
          <cell r="B221">
            <v>220</v>
          </cell>
          <cell r="C221">
            <v>3.1</v>
          </cell>
          <cell r="D221">
            <v>6.6</v>
          </cell>
          <cell r="E221">
            <v>2.1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0.4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0.4</v>
          </cell>
          <cell r="W221">
            <v>10</v>
          </cell>
          <cell r="X221">
            <v>120</v>
          </cell>
          <cell r="Y221">
            <v>0</v>
          </cell>
          <cell r="Z221">
            <v>0</v>
          </cell>
        </row>
        <row r="222">
          <cell r="A222">
            <v>43221</v>
          </cell>
          <cell r="B222">
            <v>221</v>
          </cell>
          <cell r="C222">
            <v>35.200000000000003</v>
          </cell>
          <cell r="D222">
            <v>42.2</v>
          </cell>
          <cell r="E222">
            <v>1.2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19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14.8</v>
          </cell>
          <cell r="V222">
            <v>4.2</v>
          </cell>
          <cell r="W222">
            <v>80</v>
          </cell>
          <cell r="X222">
            <v>604</v>
          </cell>
          <cell r="Y222">
            <v>0</v>
          </cell>
          <cell r="Z222">
            <v>0</v>
          </cell>
        </row>
        <row r="223">
          <cell r="A223">
            <v>43222</v>
          </cell>
          <cell r="B223">
            <v>222</v>
          </cell>
          <cell r="C223">
            <v>14.6</v>
          </cell>
          <cell r="D223">
            <v>46.9</v>
          </cell>
          <cell r="E223">
            <v>3.22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1.7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1.7</v>
          </cell>
          <cell r="W223">
            <v>0</v>
          </cell>
          <cell r="X223">
            <v>5</v>
          </cell>
          <cell r="Y223">
            <v>0</v>
          </cell>
          <cell r="Z223">
            <v>0</v>
          </cell>
        </row>
        <row r="224">
          <cell r="A224">
            <v>43223</v>
          </cell>
          <cell r="B224">
            <v>223</v>
          </cell>
          <cell r="C224">
            <v>4.0999999999999996</v>
          </cell>
          <cell r="D224">
            <v>10.6</v>
          </cell>
          <cell r="E224">
            <v>2.61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0.5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0.5</v>
          </cell>
          <cell r="W224">
            <v>0</v>
          </cell>
          <cell r="X224">
            <v>5</v>
          </cell>
          <cell r="Y224">
            <v>0</v>
          </cell>
          <cell r="Z224">
            <v>0</v>
          </cell>
        </row>
        <row r="225">
          <cell r="A225">
            <v>43224</v>
          </cell>
          <cell r="B225">
            <v>224</v>
          </cell>
          <cell r="C225">
            <v>27.5</v>
          </cell>
          <cell r="D225">
            <v>51.3</v>
          </cell>
          <cell r="E225">
            <v>1.86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5.2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1.9</v>
          </cell>
          <cell r="V225">
            <v>3.3</v>
          </cell>
          <cell r="W225">
            <v>0</v>
          </cell>
          <cell r="X225">
            <v>399</v>
          </cell>
          <cell r="Y225">
            <v>0</v>
          </cell>
          <cell r="Z225">
            <v>0</v>
          </cell>
        </row>
        <row r="226">
          <cell r="A226">
            <v>43225</v>
          </cell>
          <cell r="B226">
            <v>225</v>
          </cell>
          <cell r="C226">
            <v>9.3000000000000007</v>
          </cell>
          <cell r="D226">
            <v>11.7</v>
          </cell>
          <cell r="E226">
            <v>1.25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1.1000000000000001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1.1000000000000001</v>
          </cell>
          <cell r="W226">
            <v>0</v>
          </cell>
          <cell r="X226">
            <v>44</v>
          </cell>
          <cell r="Y226">
            <v>0</v>
          </cell>
          <cell r="Z226">
            <v>0</v>
          </cell>
        </row>
        <row r="227">
          <cell r="A227">
            <v>43226</v>
          </cell>
          <cell r="B227">
            <v>226</v>
          </cell>
          <cell r="C227">
            <v>35.700000000000003</v>
          </cell>
          <cell r="D227">
            <v>61.9</v>
          </cell>
          <cell r="E227">
            <v>1.73</v>
          </cell>
          <cell r="F227">
            <v>3.7</v>
          </cell>
          <cell r="G227">
            <v>0</v>
          </cell>
          <cell r="H227">
            <v>0</v>
          </cell>
          <cell r="I227">
            <v>3.7</v>
          </cell>
          <cell r="J227">
            <v>9.8000000000000007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3.6</v>
          </cell>
          <cell r="S227">
            <v>0</v>
          </cell>
          <cell r="T227">
            <v>0</v>
          </cell>
          <cell r="U227">
            <v>1.9</v>
          </cell>
          <cell r="V227">
            <v>4.2</v>
          </cell>
          <cell r="W227">
            <v>0</v>
          </cell>
          <cell r="X227">
            <v>493</v>
          </cell>
          <cell r="Y227">
            <v>0</v>
          </cell>
          <cell r="Z227">
            <v>0</v>
          </cell>
        </row>
        <row r="228">
          <cell r="A228">
            <v>43227</v>
          </cell>
          <cell r="B228">
            <v>227</v>
          </cell>
          <cell r="C228">
            <v>6.8</v>
          </cell>
          <cell r="D228">
            <v>30.6</v>
          </cell>
          <cell r="E228">
            <v>4.51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0.8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0.8</v>
          </cell>
          <cell r="W228">
            <v>0</v>
          </cell>
          <cell r="X228">
            <v>88</v>
          </cell>
          <cell r="Y228">
            <v>0</v>
          </cell>
          <cell r="Z228">
            <v>0</v>
          </cell>
        </row>
        <row r="229">
          <cell r="A229">
            <v>43228</v>
          </cell>
          <cell r="B229">
            <v>228</v>
          </cell>
          <cell r="C229">
            <v>45.8</v>
          </cell>
          <cell r="D229">
            <v>120.5</v>
          </cell>
          <cell r="E229">
            <v>2.63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96.3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90.9</v>
          </cell>
          <cell r="V229">
            <v>5.4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</row>
        <row r="230">
          <cell r="A230">
            <v>43229</v>
          </cell>
          <cell r="B230">
            <v>229</v>
          </cell>
          <cell r="C230">
            <v>35.4</v>
          </cell>
          <cell r="D230">
            <v>83.7</v>
          </cell>
          <cell r="E230">
            <v>2.37</v>
          </cell>
          <cell r="F230">
            <v>3.4</v>
          </cell>
          <cell r="G230">
            <v>0</v>
          </cell>
          <cell r="H230">
            <v>3.2</v>
          </cell>
          <cell r="I230">
            <v>0.2</v>
          </cell>
          <cell r="J230">
            <v>9.4</v>
          </cell>
          <cell r="K230">
            <v>0</v>
          </cell>
          <cell r="L230">
            <v>0</v>
          </cell>
          <cell r="M230">
            <v>3.2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0.1</v>
          </cell>
          <cell r="S230">
            <v>0</v>
          </cell>
          <cell r="T230">
            <v>0</v>
          </cell>
          <cell r="U230">
            <v>1.9</v>
          </cell>
          <cell r="V230">
            <v>4.2</v>
          </cell>
          <cell r="W230">
            <v>25</v>
          </cell>
          <cell r="X230">
            <v>0</v>
          </cell>
          <cell r="Y230">
            <v>0</v>
          </cell>
          <cell r="Z230">
            <v>0</v>
          </cell>
        </row>
        <row r="231">
          <cell r="A231">
            <v>43230</v>
          </cell>
          <cell r="B231">
            <v>230</v>
          </cell>
          <cell r="C231">
            <v>66.900000000000006</v>
          </cell>
          <cell r="D231">
            <v>119.2</v>
          </cell>
          <cell r="E231">
            <v>1.78</v>
          </cell>
          <cell r="F231">
            <v>14.3</v>
          </cell>
          <cell r="G231">
            <v>0.1</v>
          </cell>
          <cell r="H231">
            <v>0</v>
          </cell>
          <cell r="I231">
            <v>14.1</v>
          </cell>
          <cell r="J231">
            <v>24.1</v>
          </cell>
          <cell r="K231">
            <v>0.1</v>
          </cell>
          <cell r="L231">
            <v>0.1</v>
          </cell>
          <cell r="M231">
            <v>0</v>
          </cell>
          <cell r="N231">
            <v>0</v>
          </cell>
          <cell r="O231">
            <v>0.1</v>
          </cell>
          <cell r="P231">
            <v>7.1</v>
          </cell>
          <cell r="Q231">
            <v>0</v>
          </cell>
          <cell r="R231">
            <v>6.9</v>
          </cell>
          <cell r="S231">
            <v>0</v>
          </cell>
          <cell r="T231">
            <v>0</v>
          </cell>
          <cell r="U231">
            <v>1.9</v>
          </cell>
          <cell r="V231">
            <v>7.9</v>
          </cell>
          <cell r="W231">
            <v>99</v>
          </cell>
          <cell r="X231">
            <v>0</v>
          </cell>
          <cell r="Y231">
            <v>0</v>
          </cell>
          <cell r="Z231">
            <v>0</v>
          </cell>
        </row>
        <row r="232">
          <cell r="A232">
            <v>43231</v>
          </cell>
          <cell r="B232">
            <v>231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</row>
        <row r="233">
          <cell r="A233">
            <v>43232</v>
          </cell>
          <cell r="B233">
            <v>232</v>
          </cell>
          <cell r="C233">
            <v>31.6</v>
          </cell>
          <cell r="D233">
            <v>38</v>
          </cell>
          <cell r="E233">
            <v>1.2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7.4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3.7</v>
          </cell>
          <cell r="V233">
            <v>3.7</v>
          </cell>
          <cell r="W233">
            <v>0</v>
          </cell>
          <cell r="X233">
            <v>72</v>
          </cell>
          <cell r="Y233">
            <v>0</v>
          </cell>
          <cell r="Z233">
            <v>0</v>
          </cell>
        </row>
        <row r="234">
          <cell r="A234">
            <v>43233</v>
          </cell>
          <cell r="B234">
            <v>233</v>
          </cell>
          <cell r="C234">
            <v>0</v>
          </cell>
          <cell r="D234">
            <v>0</v>
          </cell>
          <cell r="E234">
            <v>0</v>
          </cell>
          <cell r="F234">
            <v>115</v>
          </cell>
          <cell r="G234">
            <v>22.8</v>
          </cell>
          <cell r="H234">
            <v>5.2</v>
          </cell>
          <cell r="I234">
            <v>87</v>
          </cell>
          <cell r="J234">
            <v>116.9</v>
          </cell>
          <cell r="K234">
            <v>12.1</v>
          </cell>
          <cell r="L234">
            <v>10.8</v>
          </cell>
          <cell r="M234">
            <v>2.2999999999999998</v>
          </cell>
          <cell r="N234">
            <v>2.9</v>
          </cell>
          <cell r="O234">
            <v>17.7</v>
          </cell>
          <cell r="P234">
            <v>8.3000000000000007</v>
          </cell>
          <cell r="Q234">
            <v>4.9000000000000004</v>
          </cell>
          <cell r="R234">
            <v>56.1</v>
          </cell>
          <cell r="S234">
            <v>0</v>
          </cell>
          <cell r="T234">
            <v>0</v>
          </cell>
          <cell r="U234">
            <v>1.9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</row>
        <row r="235">
          <cell r="A235">
            <v>43234</v>
          </cell>
          <cell r="B235">
            <v>234</v>
          </cell>
          <cell r="C235">
            <v>0</v>
          </cell>
          <cell r="D235">
            <v>0</v>
          </cell>
          <cell r="E235">
            <v>0</v>
          </cell>
          <cell r="F235">
            <v>21.2</v>
          </cell>
          <cell r="G235">
            <v>2.5</v>
          </cell>
          <cell r="H235">
            <v>0.7</v>
          </cell>
          <cell r="I235">
            <v>18</v>
          </cell>
          <cell r="J235">
            <v>21.2</v>
          </cell>
          <cell r="K235">
            <v>1.1000000000000001</v>
          </cell>
          <cell r="L235">
            <v>1.4</v>
          </cell>
          <cell r="M235">
            <v>0.3</v>
          </cell>
          <cell r="N235">
            <v>0.4</v>
          </cell>
          <cell r="O235">
            <v>2</v>
          </cell>
          <cell r="P235">
            <v>1.1000000000000001</v>
          </cell>
          <cell r="Q235">
            <v>0.6</v>
          </cell>
          <cell r="R235">
            <v>14.3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</row>
        <row r="236">
          <cell r="A236">
            <v>43235</v>
          </cell>
          <cell r="B236">
            <v>235</v>
          </cell>
          <cell r="C236">
            <v>44.4</v>
          </cell>
          <cell r="D236">
            <v>98.6</v>
          </cell>
          <cell r="E236">
            <v>2.2200000000000002</v>
          </cell>
          <cell r="F236">
            <v>72</v>
          </cell>
          <cell r="G236">
            <v>32.299999999999997</v>
          </cell>
          <cell r="H236">
            <v>3.2</v>
          </cell>
          <cell r="I236">
            <v>36.6</v>
          </cell>
          <cell r="J236">
            <v>79.2</v>
          </cell>
          <cell r="K236">
            <v>25.7</v>
          </cell>
          <cell r="L236">
            <v>6.6</v>
          </cell>
          <cell r="M236">
            <v>1.4</v>
          </cell>
          <cell r="N236">
            <v>1.7</v>
          </cell>
          <cell r="O236">
            <v>9.6999999999999993</v>
          </cell>
          <cell r="P236">
            <v>5.0999999999999996</v>
          </cell>
          <cell r="Q236">
            <v>3</v>
          </cell>
          <cell r="R236">
            <v>18.899999999999999</v>
          </cell>
          <cell r="S236">
            <v>0</v>
          </cell>
          <cell r="T236">
            <v>0</v>
          </cell>
          <cell r="U236">
            <v>1.9</v>
          </cell>
          <cell r="V236">
            <v>5.3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</row>
        <row r="237">
          <cell r="A237">
            <v>43236</v>
          </cell>
          <cell r="B237">
            <v>236</v>
          </cell>
          <cell r="C237">
            <v>21.3</v>
          </cell>
          <cell r="D237">
            <v>47.1</v>
          </cell>
          <cell r="E237">
            <v>2.21</v>
          </cell>
          <cell r="F237">
            <v>330.2</v>
          </cell>
          <cell r="G237">
            <v>35.200000000000003</v>
          </cell>
          <cell r="H237">
            <v>225.9</v>
          </cell>
          <cell r="I237">
            <v>69.2</v>
          </cell>
          <cell r="J237">
            <v>338.3</v>
          </cell>
          <cell r="K237">
            <v>29.2</v>
          </cell>
          <cell r="L237">
            <v>6</v>
          </cell>
          <cell r="M237">
            <v>224.3</v>
          </cell>
          <cell r="N237">
            <v>1.6</v>
          </cell>
          <cell r="O237">
            <v>44.7</v>
          </cell>
          <cell r="P237">
            <v>4.5999999999999996</v>
          </cell>
          <cell r="Q237">
            <v>2.7</v>
          </cell>
          <cell r="R237">
            <v>17.2</v>
          </cell>
          <cell r="S237">
            <v>0</v>
          </cell>
          <cell r="T237">
            <v>0</v>
          </cell>
          <cell r="U237">
            <v>5.6</v>
          </cell>
          <cell r="V237">
            <v>2.5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</row>
        <row r="238">
          <cell r="A238">
            <v>43237</v>
          </cell>
          <cell r="B238">
            <v>237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</row>
        <row r="239">
          <cell r="A239">
            <v>43238</v>
          </cell>
          <cell r="B239">
            <v>238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</row>
        <row r="240">
          <cell r="A240">
            <v>43239</v>
          </cell>
          <cell r="B240">
            <v>239</v>
          </cell>
          <cell r="C240">
            <v>105.7</v>
          </cell>
          <cell r="D240">
            <v>235</v>
          </cell>
          <cell r="E240">
            <v>2.2200000000000002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21.8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9.3000000000000007</v>
          </cell>
          <cell r="V240">
            <v>12.5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</row>
        <row r="241">
          <cell r="A241">
            <v>43240</v>
          </cell>
          <cell r="B241">
            <v>240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</row>
        <row r="242">
          <cell r="A242">
            <v>43241</v>
          </cell>
          <cell r="B242">
            <v>241</v>
          </cell>
          <cell r="C242">
            <v>87.5</v>
          </cell>
          <cell r="D242">
            <v>194.6</v>
          </cell>
          <cell r="E242">
            <v>2.2200000000000002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14.1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3.7</v>
          </cell>
          <cell r="V242">
            <v>10.4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</row>
        <row r="243">
          <cell r="A243">
            <v>43242</v>
          </cell>
          <cell r="B243">
            <v>242</v>
          </cell>
          <cell r="C243">
            <v>213.7</v>
          </cell>
          <cell r="D243">
            <v>475.1</v>
          </cell>
          <cell r="E243">
            <v>2.2200000000000002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34.6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9.3000000000000007</v>
          </cell>
          <cell r="V243">
            <v>25.3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</row>
        <row r="244">
          <cell r="A244">
            <v>43243</v>
          </cell>
          <cell r="B244">
            <v>243</v>
          </cell>
          <cell r="C244">
            <v>107.1</v>
          </cell>
          <cell r="D244">
            <v>170.6</v>
          </cell>
          <cell r="E244">
            <v>1.59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14.6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1.9</v>
          </cell>
          <cell r="V244">
            <v>12.7</v>
          </cell>
          <cell r="W244">
            <v>47</v>
          </cell>
          <cell r="X244">
            <v>0</v>
          </cell>
          <cell r="Y244">
            <v>0</v>
          </cell>
          <cell r="Z244">
            <v>0</v>
          </cell>
        </row>
        <row r="245">
          <cell r="A245">
            <v>43244</v>
          </cell>
          <cell r="B245">
            <v>244</v>
          </cell>
          <cell r="C245">
            <v>18.2</v>
          </cell>
          <cell r="D245">
            <v>40.4</v>
          </cell>
          <cell r="E245">
            <v>2.2200000000000002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2.2000000000000002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2.2000000000000002</v>
          </cell>
          <cell r="W245">
            <v>9</v>
          </cell>
          <cell r="X245">
            <v>0</v>
          </cell>
          <cell r="Y245">
            <v>0</v>
          </cell>
          <cell r="Z245">
            <v>0</v>
          </cell>
        </row>
        <row r="246">
          <cell r="A246">
            <v>43245</v>
          </cell>
          <cell r="B246">
            <v>245</v>
          </cell>
          <cell r="C246">
            <v>95.4</v>
          </cell>
          <cell r="D246">
            <v>212</v>
          </cell>
          <cell r="E246">
            <v>2.2200000000000002</v>
          </cell>
          <cell r="F246">
            <v>55.7</v>
          </cell>
          <cell r="G246">
            <v>12.6</v>
          </cell>
          <cell r="H246">
            <v>3.4</v>
          </cell>
          <cell r="I246">
            <v>39.799999999999997</v>
          </cell>
          <cell r="J246">
            <v>72.599999999999994</v>
          </cell>
          <cell r="K246">
            <v>5.5</v>
          </cell>
          <cell r="L246">
            <v>7.1</v>
          </cell>
          <cell r="M246">
            <v>1.5</v>
          </cell>
          <cell r="N246">
            <v>1.9</v>
          </cell>
          <cell r="O246">
            <v>10.8</v>
          </cell>
          <cell r="P246">
            <v>5.4</v>
          </cell>
          <cell r="Q246">
            <v>3.3</v>
          </cell>
          <cell r="R246">
            <v>20.3</v>
          </cell>
          <cell r="S246">
            <v>0</v>
          </cell>
          <cell r="T246">
            <v>0</v>
          </cell>
          <cell r="U246">
            <v>5.6</v>
          </cell>
          <cell r="V246">
            <v>11.3</v>
          </cell>
          <cell r="W246">
            <v>51</v>
          </cell>
          <cell r="X246">
            <v>0</v>
          </cell>
          <cell r="Y246">
            <v>0</v>
          </cell>
          <cell r="Z246">
            <v>0</v>
          </cell>
        </row>
        <row r="247">
          <cell r="A247">
            <v>43246</v>
          </cell>
          <cell r="B247">
            <v>246</v>
          </cell>
          <cell r="C247">
            <v>80</v>
          </cell>
          <cell r="D247">
            <v>157.80000000000001</v>
          </cell>
          <cell r="E247">
            <v>1.97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44.5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34.1</v>
          </cell>
          <cell r="V247">
            <v>10.4</v>
          </cell>
          <cell r="W247">
            <v>52</v>
          </cell>
          <cell r="X247">
            <v>0</v>
          </cell>
          <cell r="Y247">
            <v>0</v>
          </cell>
          <cell r="Z247">
            <v>0</v>
          </cell>
        </row>
        <row r="248">
          <cell r="A248">
            <v>43247</v>
          </cell>
          <cell r="B248">
            <v>247</v>
          </cell>
          <cell r="C248">
            <v>174.5</v>
          </cell>
          <cell r="D248">
            <v>279.7</v>
          </cell>
          <cell r="E248">
            <v>1.6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24.4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3.7</v>
          </cell>
          <cell r="V248">
            <v>20.7</v>
          </cell>
          <cell r="W248">
            <v>0</v>
          </cell>
          <cell r="X248">
            <v>0</v>
          </cell>
          <cell r="Y248">
            <v>64</v>
          </cell>
          <cell r="Z248">
            <v>0</v>
          </cell>
        </row>
        <row r="249">
          <cell r="A249">
            <v>43248</v>
          </cell>
          <cell r="B249">
            <v>248</v>
          </cell>
          <cell r="C249">
            <v>118.6</v>
          </cell>
          <cell r="D249">
            <v>190.1</v>
          </cell>
          <cell r="E249">
            <v>1.6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17.7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3.7</v>
          </cell>
          <cell r="V249">
            <v>14</v>
          </cell>
          <cell r="W249">
            <v>0</v>
          </cell>
          <cell r="X249">
            <v>0</v>
          </cell>
          <cell r="Y249">
            <v>38</v>
          </cell>
          <cell r="Z249">
            <v>0</v>
          </cell>
        </row>
        <row r="250">
          <cell r="A250">
            <v>43249</v>
          </cell>
          <cell r="B250">
            <v>249</v>
          </cell>
          <cell r="C250">
            <v>46.6</v>
          </cell>
          <cell r="D250">
            <v>74.599999999999994</v>
          </cell>
          <cell r="E250">
            <v>1.6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7.4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1.9</v>
          </cell>
          <cell r="V250">
            <v>5.5</v>
          </cell>
          <cell r="W250">
            <v>31</v>
          </cell>
          <cell r="X250">
            <v>0</v>
          </cell>
          <cell r="Y250">
            <v>0</v>
          </cell>
          <cell r="Z250">
            <v>0</v>
          </cell>
        </row>
        <row r="251">
          <cell r="A251">
            <v>43250</v>
          </cell>
          <cell r="B251">
            <v>250</v>
          </cell>
          <cell r="C251">
            <v>115</v>
          </cell>
          <cell r="D251">
            <v>255.7</v>
          </cell>
          <cell r="E251">
            <v>2.2200000000000002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21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7.4</v>
          </cell>
          <cell r="V251">
            <v>13.6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</row>
        <row r="252">
          <cell r="A252">
            <v>43251</v>
          </cell>
          <cell r="B252">
            <v>251</v>
          </cell>
          <cell r="C252">
            <v>4.0999999999999996</v>
          </cell>
          <cell r="D252">
            <v>9.1</v>
          </cell>
          <cell r="E252">
            <v>2.21</v>
          </cell>
          <cell r="F252">
            <v>1</v>
          </cell>
          <cell r="G252">
            <v>0.2</v>
          </cell>
          <cell r="H252">
            <v>0.1</v>
          </cell>
          <cell r="I252">
            <v>0.7</v>
          </cell>
          <cell r="J252">
            <v>5.2</v>
          </cell>
          <cell r="K252">
            <v>0.1</v>
          </cell>
          <cell r="L252">
            <v>0.1</v>
          </cell>
          <cell r="M252">
            <v>0</v>
          </cell>
          <cell r="N252">
            <v>0</v>
          </cell>
          <cell r="O252">
            <v>0.2</v>
          </cell>
          <cell r="P252">
            <v>0.1</v>
          </cell>
          <cell r="Q252">
            <v>0.1</v>
          </cell>
          <cell r="R252">
            <v>0.4</v>
          </cell>
          <cell r="S252">
            <v>0</v>
          </cell>
          <cell r="T252">
            <v>0</v>
          </cell>
          <cell r="U252">
            <v>3.7</v>
          </cell>
          <cell r="V252">
            <v>0.5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</row>
        <row r="253">
          <cell r="A253">
            <v>43252</v>
          </cell>
          <cell r="B253">
            <v>252</v>
          </cell>
          <cell r="C253">
            <v>0</v>
          </cell>
          <cell r="D253">
            <v>0</v>
          </cell>
          <cell r="E253">
            <v>0</v>
          </cell>
          <cell r="F253">
            <v>151.19999999999999</v>
          </cell>
          <cell r="G253">
            <v>141</v>
          </cell>
          <cell r="H253">
            <v>0.8</v>
          </cell>
          <cell r="I253">
            <v>9.3000000000000007</v>
          </cell>
          <cell r="J253">
            <v>151.19999999999999</v>
          </cell>
          <cell r="K253">
            <v>139.4</v>
          </cell>
          <cell r="L253">
            <v>1.7</v>
          </cell>
          <cell r="M253">
            <v>0.4</v>
          </cell>
          <cell r="N253">
            <v>0.4</v>
          </cell>
          <cell r="O253">
            <v>2.4</v>
          </cell>
          <cell r="P253">
            <v>1.3</v>
          </cell>
          <cell r="Q253">
            <v>0.8</v>
          </cell>
          <cell r="R253">
            <v>4.8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</row>
        <row r="254">
          <cell r="A254">
            <v>43253</v>
          </cell>
          <cell r="B254">
            <v>253</v>
          </cell>
          <cell r="C254">
            <v>70.900000000000006</v>
          </cell>
          <cell r="D254">
            <v>156.30000000000001</v>
          </cell>
          <cell r="E254">
            <v>2.21</v>
          </cell>
          <cell r="F254">
            <v>325.10000000000002</v>
          </cell>
          <cell r="G254">
            <v>73.2</v>
          </cell>
          <cell r="H254">
            <v>19.7</v>
          </cell>
          <cell r="I254">
            <v>232.2</v>
          </cell>
          <cell r="J254">
            <v>374.3</v>
          </cell>
          <cell r="K254">
            <v>32.200000000000003</v>
          </cell>
          <cell r="L254">
            <v>41</v>
          </cell>
          <cell r="M254">
            <v>8.8000000000000007</v>
          </cell>
          <cell r="N254">
            <v>11</v>
          </cell>
          <cell r="O254">
            <v>63.1</v>
          </cell>
          <cell r="P254">
            <v>31.6</v>
          </cell>
          <cell r="Q254">
            <v>19.3</v>
          </cell>
          <cell r="R254">
            <v>118.2</v>
          </cell>
          <cell r="S254">
            <v>0</v>
          </cell>
          <cell r="T254">
            <v>0</v>
          </cell>
          <cell r="U254">
            <v>40.799999999999997</v>
          </cell>
          <cell r="V254">
            <v>8.4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</row>
        <row r="255">
          <cell r="A255">
            <v>43254</v>
          </cell>
          <cell r="B255">
            <v>254</v>
          </cell>
          <cell r="C255">
            <v>0</v>
          </cell>
          <cell r="D255">
            <v>0</v>
          </cell>
          <cell r="E255">
            <v>0</v>
          </cell>
          <cell r="F255">
            <v>248.8</v>
          </cell>
          <cell r="G255">
            <v>19.5</v>
          </cell>
          <cell r="H255">
            <v>21.8</v>
          </cell>
          <cell r="I255">
            <v>207.5</v>
          </cell>
          <cell r="J255">
            <v>250.7</v>
          </cell>
          <cell r="K255">
            <v>8.6</v>
          </cell>
          <cell r="L255">
            <v>10.9</v>
          </cell>
          <cell r="M255">
            <v>2.2999999999999998</v>
          </cell>
          <cell r="N255">
            <v>19.399999999999999</v>
          </cell>
          <cell r="O255">
            <v>15.8</v>
          </cell>
          <cell r="P255">
            <v>155.6</v>
          </cell>
          <cell r="Q255">
            <v>4.9000000000000004</v>
          </cell>
          <cell r="R255">
            <v>31.2</v>
          </cell>
          <cell r="S255">
            <v>0</v>
          </cell>
          <cell r="T255">
            <v>0</v>
          </cell>
          <cell r="U255">
            <v>1.9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</row>
        <row r="256">
          <cell r="A256">
            <v>43255</v>
          </cell>
          <cell r="B256">
            <v>255</v>
          </cell>
          <cell r="C256">
            <v>0</v>
          </cell>
          <cell r="D256">
            <v>0</v>
          </cell>
          <cell r="E256">
            <v>0</v>
          </cell>
          <cell r="F256">
            <v>127.6</v>
          </cell>
          <cell r="G256">
            <v>1.5</v>
          </cell>
          <cell r="H256">
            <v>0.4</v>
          </cell>
          <cell r="I256">
            <v>125.7</v>
          </cell>
          <cell r="J256">
            <v>127.6</v>
          </cell>
          <cell r="K256">
            <v>0.7</v>
          </cell>
          <cell r="L256">
            <v>0.9</v>
          </cell>
          <cell r="M256">
            <v>0.2</v>
          </cell>
          <cell r="N256">
            <v>0.2</v>
          </cell>
          <cell r="O256">
            <v>1.2</v>
          </cell>
          <cell r="P256">
            <v>0.7</v>
          </cell>
          <cell r="Q256">
            <v>0.4</v>
          </cell>
          <cell r="R256">
            <v>123.4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</row>
        <row r="257">
          <cell r="A257">
            <v>43256</v>
          </cell>
          <cell r="B257">
            <v>256</v>
          </cell>
          <cell r="C257">
            <v>0</v>
          </cell>
          <cell r="D257">
            <v>0</v>
          </cell>
          <cell r="E257">
            <v>0</v>
          </cell>
          <cell r="F257">
            <v>77.3</v>
          </cell>
          <cell r="G257">
            <v>2.8</v>
          </cell>
          <cell r="H257">
            <v>0.7</v>
          </cell>
          <cell r="I257">
            <v>73.8</v>
          </cell>
          <cell r="J257">
            <v>77.3</v>
          </cell>
          <cell r="K257">
            <v>1.2</v>
          </cell>
          <cell r="L257">
            <v>1.6</v>
          </cell>
          <cell r="M257">
            <v>0.3</v>
          </cell>
          <cell r="N257">
            <v>0.4</v>
          </cell>
          <cell r="O257">
            <v>2.2000000000000002</v>
          </cell>
          <cell r="P257">
            <v>66.5</v>
          </cell>
          <cell r="Q257">
            <v>0.7</v>
          </cell>
          <cell r="R257">
            <v>4.4000000000000004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</row>
        <row r="258">
          <cell r="A258">
            <v>43257</v>
          </cell>
          <cell r="B258">
            <v>257</v>
          </cell>
          <cell r="C258">
            <v>43.5</v>
          </cell>
          <cell r="D258">
            <v>95.8</v>
          </cell>
          <cell r="E258">
            <v>2.21</v>
          </cell>
          <cell r="F258">
            <v>157.69999999999999</v>
          </cell>
          <cell r="G258">
            <v>35.5</v>
          </cell>
          <cell r="H258">
            <v>9.6</v>
          </cell>
          <cell r="I258">
            <v>112.7</v>
          </cell>
          <cell r="J258">
            <v>181.4</v>
          </cell>
          <cell r="K258">
            <v>15.8</v>
          </cell>
          <cell r="L258">
            <v>19.8</v>
          </cell>
          <cell r="M258">
            <v>4.3</v>
          </cell>
          <cell r="N258">
            <v>5.3</v>
          </cell>
          <cell r="O258">
            <v>30.8</v>
          </cell>
          <cell r="P258">
            <v>15.3</v>
          </cell>
          <cell r="Q258">
            <v>9.4</v>
          </cell>
          <cell r="R258">
            <v>57.2</v>
          </cell>
          <cell r="S258">
            <v>0</v>
          </cell>
          <cell r="T258">
            <v>0</v>
          </cell>
          <cell r="U258">
            <v>18.5</v>
          </cell>
          <cell r="V258">
            <v>5.0999999999999996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</row>
        <row r="259">
          <cell r="A259">
            <v>43258</v>
          </cell>
          <cell r="B259">
            <v>258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</row>
        <row r="260">
          <cell r="A260">
            <v>43259</v>
          </cell>
          <cell r="B260">
            <v>259</v>
          </cell>
          <cell r="C260">
            <v>33.299999999999997</v>
          </cell>
          <cell r="D260">
            <v>74.2</v>
          </cell>
          <cell r="E260">
            <v>2.23</v>
          </cell>
          <cell r="F260">
            <v>488.5</v>
          </cell>
          <cell r="G260">
            <v>83.3</v>
          </cell>
          <cell r="H260">
            <v>28.2</v>
          </cell>
          <cell r="I260">
            <v>377</v>
          </cell>
          <cell r="J260">
            <v>505.4</v>
          </cell>
          <cell r="K260">
            <v>40.9</v>
          </cell>
          <cell r="L260">
            <v>42.4</v>
          </cell>
          <cell r="M260">
            <v>9.1</v>
          </cell>
          <cell r="N260">
            <v>19.100000000000001</v>
          </cell>
          <cell r="O260">
            <v>62.2</v>
          </cell>
          <cell r="P260">
            <v>32.6</v>
          </cell>
          <cell r="Q260">
            <v>19.3</v>
          </cell>
          <cell r="R260">
            <v>262.89999999999998</v>
          </cell>
          <cell r="S260">
            <v>0</v>
          </cell>
          <cell r="T260">
            <v>0</v>
          </cell>
          <cell r="U260">
            <v>13</v>
          </cell>
          <cell r="V260">
            <v>3.9</v>
          </cell>
          <cell r="W260">
            <v>0</v>
          </cell>
          <cell r="X260">
            <v>0</v>
          </cell>
          <cell r="Y260">
            <v>22</v>
          </cell>
          <cell r="Z260">
            <v>0</v>
          </cell>
        </row>
        <row r="261">
          <cell r="A261">
            <v>43260</v>
          </cell>
          <cell r="B261">
            <v>260</v>
          </cell>
          <cell r="C261">
            <v>13</v>
          </cell>
          <cell r="D261">
            <v>28.7</v>
          </cell>
          <cell r="E261">
            <v>2.21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27.5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26</v>
          </cell>
          <cell r="V261">
            <v>1.5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</row>
        <row r="262">
          <cell r="A262">
            <v>43261</v>
          </cell>
          <cell r="B262">
            <v>261</v>
          </cell>
          <cell r="C262">
            <v>330</v>
          </cell>
          <cell r="D262">
            <v>407.1</v>
          </cell>
          <cell r="E262">
            <v>1.23</v>
          </cell>
          <cell r="F262">
            <v>35.9</v>
          </cell>
          <cell r="G262">
            <v>0.4</v>
          </cell>
          <cell r="H262">
            <v>0.1</v>
          </cell>
          <cell r="I262">
            <v>35.5</v>
          </cell>
          <cell r="J262">
            <v>75</v>
          </cell>
          <cell r="K262">
            <v>0.2</v>
          </cell>
          <cell r="L262">
            <v>0.2</v>
          </cell>
          <cell r="M262">
            <v>0</v>
          </cell>
          <cell r="N262">
            <v>0.1</v>
          </cell>
          <cell r="O262">
            <v>0.3</v>
          </cell>
          <cell r="P262">
            <v>1.1000000000000001</v>
          </cell>
          <cell r="Q262">
            <v>1</v>
          </cell>
          <cell r="R262">
            <v>33.1</v>
          </cell>
          <cell r="S262">
            <v>0</v>
          </cell>
          <cell r="T262">
            <v>0</v>
          </cell>
          <cell r="U262">
            <v>0</v>
          </cell>
          <cell r="V262">
            <v>39.1</v>
          </cell>
          <cell r="W262">
            <v>16</v>
          </cell>
          <cell r="X262">
            <v>0</v>
          </cell>
          <cell r="Y262">
            <v>0</v>
          </cell>
          <cell r="Z262">
            <v>0</v>
          </cell>
        </row>
        <row r="263">
          <cell r="A263">
            <v>43262</v>
          </cell>
          <cell r="B263">
            <v>262</v>
          </cell>
          <cell r="C263">
            <v>45.3</v>
          </cell>
          <cell r="D263">
            <v>99.9</v>
          </cell>
          <cell r="E263">
            <v>2.21</v>
          </cell>
          <cell r="F263">
            <v>198.2</v>
          </cell>
          <cell r="G263">
            <v>16.2</v>
          </cell>
          <cell r="H263">
            <v>4.3</v>
          </cell>
          <cell r="I263">
            <v>177.6</v>
          </cell>
          <cell r="J263">
            <v>231.4</v>
          </cell>
          <cell r="K263">
            <v>7.2</v>
          </cell>
          <cell r="L263">
            <v>9</v>
          </cell>
          <cell r="M263">
            <v>1.9</v>
          </cell>
          <cell r="N263">
            <v>2.4</v>
          </cell>
          <cell r="O263">
            <v>19.100000000000001</v>
          </cell>
          <cell r="P263">
            <v>128.6</v>
          </cell>
          <cell r="Q263">
            <v>4.0999999999999996</v>
          </cell>
          <cell r="R263">
            <v>25.9</v>
          </cell>
          <cell r="S263">
            <v>0</v>
          </cell>
          <cell r="T263">
            <v>0</v>
          </cell>
          <cell r="U263">
            <v>27.8</v>
          </cell>
          <cell r="V263">
            <v>5.4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</row>
        <row r="264">
          <cell r="A264">
            <v>43263</v>
          </cell>
          <cell r="B264">
            <v>263</v>
          </cell>
          <cell r="C264">
            <v>10.5</v>
          </cell>
          <cell r="D264">
            <v>23.2</v>
          </cell>
          <cell r="E264">
            <v>2.21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17.899999999999999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16.7</v>
          </cell>
          <cell r="V264">
            <v>1.2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</row>
        <row r="265">
          <cell r="A265">
            <v>43264</v>
          </cell>
          <cell r="B265">
            <v>264</v>
          </cell>
          <cell r="C265">
            <v>62.1</v>
          </cell>
          <cell r="D265">
            <v>101.5</v>
          </cell>
          <cell r="E265">
            <v>1.63</v>
          </cell>
          <cell r="F265">
            <v>84.6</v>
          </cell>
          <cell r="G265">
            <v>1.7</v>
          </cell>
          <cell r="H265">
            <v>0.5</v>
          </cell>
          <cell r="I265">
            <v>82.5</v>
          </cell>
          <cell r="J265">
            <v>101.3</v>
          </cell>
          <cell r="K265">
            <v>0.8</v>
          </cell>
          <cell r="L265">
            <v>1</v>
          </cell>
          <cell r="M265">
            <v>0.2</v>
          </cell>
          <cell r="N265">
            <v>0.3</v>
          </cell>
          <cell r="O265">
            <v>1.4</v>
          </cell>
          <cell r="P265">
            <v>77.900000000000006</v>
          </cell>
          <cell r="Q265">
            <v>0.4</v>
          </cell>
          <cell r="R265">
            <v>2.7</v>
          </cell>
          <cell r="S265">
            <v>0</v>
          </cell>
          <cell r="T265">
            <v>0</v>
          </cell>
          <cell r="U265">
            <v>9.3000000000000007</v>
          </cell>
          <cell r="V265">
            <v>7.4</v>
          </cell>
          <cell r="W265">
            <v>23</v>
          </cell>
          <cell r="X265">
            <v>0</v>
          </cell>
          <cell r="Y265">
            <v>0</v>
          </cell>
          <cell r="Z265">
            <v>0</v>
          </cell>
        </row>
        <row r="266">
          <cell r="A266">
            <v>43265</v>
          </cell>
          <cell r="B266">
            <v>265</v>
          </cell>
          <cell r="C266">
            <v>0</v>
          </cell>
          <cell r="D266">
            <v>0</v>
          </cell>
          <cell r="E266">
            <v>0</v>
          </cell>
          <cell r="F266">
            <v>104.6</v>
          </cell>
          <cell r="G266">
            <v>8</v>
          </cell>
          <cell r="H266">
            <v>2.1</v>
          </cell>
          <cell r="I266">
            <v>94.4</v>
          </cell>
          <cell r="J266">
            <v>104.6</v>
          </cell>
          <cell r="K266">
            <v>3.5</v>
          </cell>
          <cell r="L266">
            <v>4.5</v>
          </cell>
          <cell r="M266">
            <v>1</v>
          </cell>
          <cell r="N266">
            <v>1.2</v>
          </cell>
          <cell r="O266">
            <v>6.4</v>
          </cell>
          <cell r="P266">
            <v>3.4</v>
          </cell>
          <cell r="Q266">
            <v>2</v>
          </cell>
          <cell r="R266">
            <v>82.6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</row>
        <row r="267">
          <cell r="A267">
            <v>43266</v>
          </cell>
          <cell r="B267">
            <v>266</v>
          </cell>
          <cell r="C267">
            <v>284.39999999999998</v>
          </cell>
          <cell r="D267">
            <v>488.3</v>
          </cell>
          <cell r="E267">
            <v>1.72</v>
          </cell>
          <cell r="F267">
            <v>118.4</v>
          </cell>
          <cell r="G267">
            <v>1.2</v>
          </cell>
          <cell r="H267">
            <v>85.1</v>
          </cell>
          <cell r="I267">
            <v>32.1</v>
          </cell>
          <cell r="J267">
            <v>187.3</v>
          </cell>
          <cell r="K267">
            <v>0.5</v>
          </cell>
          <cell r="L267">
            <v>0.7</v>
          </cell>
          <cell r="M267">
            <v>83.6</v>
          </cell>
          <cell r="N267">
            <v>1.5</v>
          </cell>
          <cell r="O267">
            <v>3</v>
          </cell>
          <cell r="P267">
            <v>0.5</v>
          </cell>
          <cell r="Q267">
            <v>0.4</v>
          </cell>
          <cell r="R267">
            <v>28.1</v>
          </cell>
          <cell r="S267">
            <v>0</v>
          </cell>
          <cell r="T267">
            <v>0</v>
          </cell>
          <cell r="U267">
            <v>35.200000000000003</v>
          </cell>
          <cell r="V267">
            <v>33.700000000000003</v>
          </cell>
          <cell r="W267">
            <v>0</v>
          </cell>
          <cell r="X267">
            <v>0</v>
          </cell>
          <cell r="Y267">
            <v>238</v>
          </cell>
          <cell r="Z267">
            <v>0</v>
          </cell>
        </row>
        <row r="268">
          <cell r="A268">
            <v>43267</v>
          </cell>
          <cell r="B268">
            <v>267</v>
          </cell>
          <cell r="C268">
            <v>0</v>
          </cell>
          <cell r="D268">
            <v>0</v>
          </cell>
          <cell r="E268">
            <v>0</v>
          </cell>
          <cell r="F268">
            <v>419.9</v>
          </cell>
          <cell r="G268">
            <v>182.4</v>
          </cell>
          <cell r="H268">
            <v>1</v>
          </cell>
          <cell r="I268">
            <v>236.5</v>
          </cell>
          <cell r="J268">
            <v>419.9</v>
          </cell>
          <cell r="K268">
            <v>107.2</v>
          </cell>
          <cell r="L268">
            <v>75.2</v>
          </cell>
          <cell r="M268">
            <v>0.5</v>
          </cell>
          <cell r="N268">
            <v>0.6</v>
          </cell>
          <cell r="O268">
            <v>176.1</v>
          </cell>
          <cell r="P268">
            <v>1.6</v>
          </cell>
          <cell r="Q268">
            <v>52.4</v>
          </cell>
          <cell r="R268">
            <v>6.5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</row>
        <row r="269">
          <cell r="A269">
            <v>43268</v>
          </cell>
          <cell r="B269">
            <v>268</v>
          </cell>
          <cell r="C269">
            <v>214.6</v>
          </cell>
          <cell r="D269">
            <v>302.2</v>
          </cell>
          <cell r="E269">
            <v>1.41</v>
          </cell>
          <cell r="F269">
            <v>102.9</v>
          </cell>
          <cell r="G269">
            <v>7.1</v>
          </cell>
          <cell r="H269">
            <v>4.2</v>
          </cell>
          <cell r="I269">
            <v>91.6</v>
          </cell>
          <cell r="J269">
            <v>128.30000000000001</v>
          </cell>
          <cell r="K269">
            <v>3.1</v>
          </cell>
          <cell r="L269">
            <v>4</v>
          </cell>
          <cell r="M269">
            <v>0.9</v>
          </cell>
          <cell r="N269">
            <v>3.3</v>
          </cell>
          <cell r="O269">
            <v>32</v>
          </cell>
          <cell r="P269">
            <v>38.6</v>
          </cell>
          <cell r="Q269">
            <v>9.6999999999999993</v>
          </cell>
          <cell r="R269">
            <v>11.3</v>
          </cell>
          <cell r="S269">
            <v>0</v>
          </cell>
          <cell r="T269">
            <v>0</v>
          </cell>
          <cell r="U269">
            <v>0</v>
          </cell>
          <cell r="V269">
            <v>25.4</v>
          </cell>
          <cell r="W269">
            <v>0</v>
          </cell>
          <cell r="X269">
            <v>0</v>
          </cell>
          <cell r="Y269">
            <v>55</v>
          </cell>
          <cell r="Z269">
            <v>0</v>
          </cell>
        </row>
        <row r="270">
          <cell r="A270">
            <v>43269</v>
          </cell>
          <cell r="B270">
            <v>269</v>
          </cell>
          <cell r="C270">
            <v>63.8</v>
          </cell>
          <cell r="D270">
            <v>243.1</v>
          </cell>
          <cell r="E270">
            <v>3.81</v>
          </cell>
          <cell r="F270">
            <v>15.4</v>
          </cell>
          <cell r="G270">
            <v>0.8</v>
          </cell>
          <cell r="H270">
            <v>1.7</v>
          </cell>
          <cell r="I270">
            <v>12.9</v>
          </cell>
          <cell r="J270">
            <v>26.7</v>
          </cell>
          <cell r="K270">
            <v>0.7</v>
          </cell>
          <cell r="L270">
            <v>0.1</v>
          </cell>
          <cell r="M270">
            <v>0</v>
          </cell>
          <cell r="N270">
            <v>1.7</v>
          </cell>
          <cell r="O270">
            <v>6.6</v>
          </cell>
          <cell r="P270">
            <v>0.1</v>
          </cell>
          <cell r="Q270">
            <v>0</v>
          </cell>
          <cell r="R270">
            <v>6.3</v>
          </cell>
          <cell r="S270">
            <v>0</v>
          </cell>
          <cell r="T270">
            <v>0</v>
          </cell>
          <cell r="U270">
            <v>3.7</v>
          </cell>
          <cell r="V270">
            <v>7.6</v>
          </cell>
          <cell r="W270">
            <v>5</v>
          </cell>
          <cell r="X270">
            <v>0</v>
          </cell>
          <cell r="Y270">
            <v>0</v>
          </cell>
          <cell r="Z270">
            <v>0</v>
          </cell>
        </row>
        <row r="271">
          <cell r="A271">
            <v>43270</v>
          </cell>
          <cell r="B271">
            <v>270</v>
          </cell>
          <cell r="C271">
            <v>86.3</v>
          </cell>
          <cell r="D271">
            <v>142.80000000000001</v>
          </cell>
          <cell r="E271">
            <v>1.65</v>
          </cell>
          <cell r="F271">
            <v>29.1</v>
          </cell>
          <cell r="G271">
            <v>4.8</v>
          </cell>
          <cell r="H271">
            <v>0.1</v>
          </cell>
          <cell r="I271">
            <v>24.2</v>
          </cell>
          <cell r="J271">
            <v>41.1</v>
          </cell>
          <cell r="K271">
            <v>0.1</v>
          </cell>
          <cell r="L271">
            <v>4.7</v>
          </cell>
          <cell r="M271">
            <v>0</v>
          </cell>
          <cell r="N271">
            <v>0</v>
          </cell>
          <cell r="O271">
            <v>11.1</v>
          </cell>
          <cell r="P271">
            <v>0.1</v>
          </cell>
          <cell r="Q271">
            <v>7.1</v>
          </cell>
          <cell r="R271">
            <v>5.9</v>
          </cell>
          <cell r="S271">
            <v>0</v>
          </cell>
          <cell r="T271">
            <v>0</v>
          </cell>
          <cell r="U271">
            <v>1.9</v>
          </cell>
          <cell r="V271">
            <v>10.199999999999999</v>
          </cell>
          <cell r="W271">
            <v>0</v>
          </cell>
          <cell r="X271">
            <v>0</v>
          </cell>
          <cell r="Y271">
            <v>15</v>
          </cell>
          <cell r="Z271">
            <v>0</v>
          </cell>
        </row>
        <row r="272">
          <cell r="A272">
            <v>43271</v>
          </cell>
          <cell r="B272">
            <v>271</v>
          </cell>
          <cell r="C272">
            <v>12.5</v>
          </cell>
          <cell r="D272">
            <v>44.3</v>
          </cell>
          <cell r="E272">
            <v>3.54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1.5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1.5</v>
          </cell>
          <cell r="W272">
            <v>0</v>
          </cell>
          <cell r="X272">
            <v>0</v>
          </cell>
          <cell r="Y272">
            <v>4</v>
          </cell>
          <cell r="Z272">
            <v>0</v>
          </cell>
        </row>
        <row r="273">
          <cell r="A273">
            <v>43272</v>
          </cell>
          <cell r="B273">
            <v>272</v>
          </cell>
          <cell r="C273">
            <v>173.7</v>
          </cell>
          <cell r="D273">
            <v>385.3</v>
          </cell>
          <cell r="E273">
            <v>2.2200000000000002</v>
          </cell>
          <cell r="F273">
            <v>10.199999999999999</v>
          </cell>
          <cell r="G273">
            <v>0.1</v>
          </cell>
          <cell r="H273">
            <v>0</v>
          </cell>
          <cell r="I273">
            <v>10.1</v>
          </cell>
          <cell r="J273">
            <v>41.9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0.1</v>
          </cell>
          <cell r="P273">
            <v>0</v>
          </cell>
          <cell r="Q273">
            <v>1.1000000000000001</v>
          </cell>
          <cell r="R273">
            <v>8.9</v>
          </cell>
          <cell r="S273">
            <v>0</v>
          </cell>
          <cell r="T273">
            <v>0</v>
          </cell>
          <cell r="U273">
            <v>11.1</v>
          </cell>
          <cell r="V273">
            <v>20.6</v>
          </cell>
          <cell r="W273">
            <v>0</v>
          </cell>
          <cell r="X273">
            <v>0</v>
          </cell>
          <cell r="Y273">
            <v>61</v>
          </cell>
          <cell r="Z273">
            <v>0</v>
          </cell>
        </row>
        <row r="274">
          <cell r="A274">
            <v>43273</v>
          </cell>
          <cell r="B274">
            <v>273</v>
          </cell>
          <cell r="C274">
            <v>0</v>
          </cell>
          <cell r="D274">
            <v>0</v>
          </cell>
          <cell r="E274">
            <v>0</v>
          </cell>
          <cell r="F274">
            <v>154.9</v>
          </cell>
          <cell r="G274">
            <v>3.1</v>
          </cell>
          <cell r="H274">
            <v>0.8</v>
          </cell>
          <cell r="I274">
            <v>150.9</v>
          </cell>
          <cell r="J274">
            <v>154.9</v>
          </cell>
          <cell r="K274">
            <v>1.4</v>
          </cell>
          <cell r="L274">
            <v>1.7</v>
          </cell>
          <cell r="M274">
            <v>0.4</v>
          </cell>
          <cell r="N274">
            <v>0.5</v>
          </cell>
          <cell r="O274">
            <v>2.5</v>
          </cell>
          <cell r="P274">
            <v>142.6</v>
          </cell>
          <cell r="Q274">
            <v>0.8</v>
          </cell>
          <cell r="R274">
            <v>5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</row>
        <row r="275">
          <cell r="A275">
            <v>43274</v>
          </cell>
          <cell r="B275">
            <v>274</v>
          </cell>
          <cell r="C275">
            <v>0</v>
          </cell>
          <cell r="D275">
            <v>0</v>
          </cell>
          <cell r="E275">
            <v>0</v>
          </cell>
          <cell r="F275">
            <v>600</v>
          </cell>
          <cell r="G275">
            <v>135.5</v>
          </cell>
          <cell r="H275">
            <v>37.200000000000003</v>
          </cell>
          <cell r="I275">
            <v>427.3</v>
          </cell>
          <cell r="J275">
            <v>600</v>
          </cell>
          <cell r="K275">
            <v>54.7</v>
          </cell>
          <cell r="L275">
            <v>80.900000000000006</v>
          </cell>
          <cell r="M275">
            <v>16.2</v>
          </cell>
          <cell r="N275">
            <v>20.9</v>
          </cell>
          <cell r="O275">
            <v>113</v>
          </cell>
          <cell r="P275">
            <v>57.7</v>
          </cell>
          <cell r="Q275">
            <v>34.700000000000003</v>
          </cell>
          <cell r="R275">
            <v>222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413</v>
          </cell>
        </row>
        <row r="276">
          <cell r="A276">
            <v>43275</v>
          </cell>
          <cell r="B276">
            <v>275</v>
          </cell>
          <cell r="C276">
            <v>66</v>
          </cell>
          <cell r="D276">
            <v>101.6</v>
          </cell>
          <cell r="E276">
            <v>1.54</v>
          </cell>
          <cell r="F276">
            <v>54.8</v>
          </cell>
          <cell r="G276">
            <v>3.7</v>
          </cell>
          <cell r="H276">
            <v>1</v>
          </cell>
          <cell r="I276">
            <v>50</v>
          </cell>
          <cell r="J276">
            <v>70</v>
          </cell>
          <cell r="K276">
            <v>1.7</v>
          </cell>
          <cell r="L276">
            <v>2.1</v>
          </cell>
          <cell r="M276">
            <v>0.4</v>
          </cell>
          <cell r="N276">
            <v>0.6</v>
          </cell>
          <cell r="O276">
            <v>3</v>
          </cell>
          <cell r="P276">
            <v>1.6</v>
          </cell>
          <cell r="Q276">
            <v>0.9</v>
          </cell>
          <cell r="R276">
            <v>44.5</v>
          </cell>
          <cell r="S276">
            <v>0</v>
          </cell>
          <cell r="T276">
            <v>0</v>
          </cell>
          <cell r="U276">
            <v>7.4</v>
          </cell>
          <cell r="V276">
            <v>7.8</v>
          </cell>
          <cell r="W276">
            <v>0</v>
          </cell>
          <cell r="X276">
            <v>0</v>
          </cell>
          <cell r="Y276">
            <v>256</v>
          </cell>
          <cell r="Z276">
            <v>0</v>
          </cell>
        </row>
        <row r="277">
          <cell r="A277">
            <v>43276</v>
          </cell>
          <cell r="B277">
            <v>276</v>
          </cell>
          <cell r="C277">
            <v>131.6</v>
          </cell>
          <cell r="D277">
            <v>224.5</v>
          </cell>
          <cell r="E277">
            <v>1.71</v>
          </cell>
          <cell r="F277">
            <v>8.1999999999999993</v>
          </cell>
          <cell r="G277">
            <v>0.1</v>
          </cell>
          <cell r="H277">
            <v>0.8</v>
          </cell>
          <cell r="I277">
            <v>7.4</v>
          </cell>
          <cell r="J277">
            <v>23.8</v>
          </cell>
          <cell r="K277">
            <v>0</v>
          </cell>
          <cell r="L277">
            <v>0.1</v>
          </cell>
          <cell r="M277">
            <v>0</v>
          </cell>
          <cell r="N277">
            <v>0.7</v>
          </cell>
          <cell r="O277">
            <v>6</v>
          </cell>
          <cell r="P277">
            <v>0</v>
          </cell>
          <cell r="Q277">
            <v>0</v>
          </cell>
          <cell r="R277">
            <v>1.3</v>
          </cell>
          <cell r="S277">
            <v>0</v>
          </cell>
          <cell r="T277">
            <v>0</v>
          </cell>
          <cell r="U277">
            <v>0</v>
          </cell>
          <cell r="V277">
            <v>15.6</v>
          </cell>
          <cell r="W277">
            <v>1</v>
          </cell>
          <cell r="X277">
            <v>0</v>
          </cell>
          <cell r="Y277">
            <v>34</v>
          </cell>
          <cell r="Z277">
            <v>0</v>
          </cell>
        </row>
        <row r="278">
          <cell r="A278">
            <v>43277</v>
          </cell>
          <cell r="B278">
            <v>277</v>
          </cell>
          <cell r="C278">
            <v>51.2</v>
          </cell>
          <cell r="D278">
            <v>92.5</v>
          </cell>
          <cell r="E278">
            <v>1.81</v>
          </cell>
          <cell r="F278">
            <v>24.2</v>
          </cell>
          <cell r="G278">
            <v>0.9</v>
          </cell>
          <cell r="H278">
            <v>0.3</v>
          </cell>
          <cell r="I278">
            <v>23</v>
          </cell>
          <cell r="J278">
            <v>30.3</v>
          </cell>
          <cell r="K278">
            <v>0.4</v>
          </cell>
          <cell r="L278">
            <v>0.5</v>
          </cell>
          <cell r="M278">
            <v>0.1</v>
          </cell>
          <cell r="N278">
            <v>0.1</v>
          </cell>
          <cell r="O278">
            <v>0.7</v>
          </cell>
          <cell r="P278">
            <v>1.5</v>
          </cell>
          <cell r="Q278">
            <v>1.2</v>
          </cell>
          <cell r="R278">
            <v>19.5</v>
          </cell>
          <cell r="S278">
            <v>0</v>
          </cell>
          <cell r="T278">
            <v>0</v>
          </cell>
          <cell r="U278">
            <v>0</v>
          </cell>
          <cell r="V278">
            <v>6.1</v>
          </cell>
          <cell r="W278">
            <v>8</v>
          </cell>
          <cell r="X278">
            <v>0</v>
          </cell>
          <cell r="Y278">
            <v>0</v>
          </cell>
          <cell r="Z278">
            <v>0</v>
          </cell>
        </row>
        <row r="279">
          <cell r="A279">
            <v>43278</v>
          </cell>
          <cell r="B279">
            <v>278</v>
          </cell>
          <cell r="C279">
            <v>172.5</v>
          </cell>
          <cell r="D279">
            <v>357.1</v>
          </cell>
          <cell r="E279">
            <v>2.0699999999999998</v>
          </cell>
          <cell r="F279">
            <v>50.2</v>
          </cell>
          <cell r="G279">
            <v>1.8</v>
          </cell>
          <cell r="H279">
            <v>1.4</v>
          </cell>
          <cell r="I279">
            <v>46.9</v>
          </cell>
          <cell r="J279">
            <v>72.400000000000006</v>
          </cell>
          <cell r="K279">
            <v>0.8</v>
          </cell>
          <cell r="L279">
            <v>1.1000000000000001</v>
          </cell>
          <cell r="M279">
            <v>1.1000000000000001</v>
          </cell>
          <cell r="N279">
            <v>0.3</v>
          </cell>
          <cell r="O279">
            <v>18.899999999999999</v>
          </cell>
          <cell r="P279">
            <v>0.8</v>
          </cell>
          <cell r="Q279">
            <v>0.5</v>
          </cell>
          <cell r="R279">
            <v>26.8</v>
          </cell>
          <cell r="S279">
            <v>0</v>
          </cell>
          <cell r="T279">
            <v>0</v>
          </cell>
          <cell r="U279">
            <v>1.9</v>
          </cell>
          <cell r="V279">
            <v>20.399999999999999</v>
          </cell>
          <cell r="W279">
            <v>26</v>
          </cell>
          <cell r="X279">
            <v>0</v>
          </cell>
          <cell r="Y279">
            <v>0</v>
          </cell>
          <cell r="Z279">
            <v>0</v>
          </cell>
        </row>
        <row r="280">
          <cell r="A280">
            <v>43279</v>
          </cell>
          <cell r="B280">
            <v>279</v>
          </cell>
          <cell r="C280">
            <v>0</v>
          </cell>
          <cell r="D280">
            <v>0</v>
          </cell>
          <cell r="E280">
            <v>2.6</v>
          </cell>
          <cell r="F280">
            <v>51</v>
          </cell>
          <cell r="G280">
            <v>51</v>
          </cell>
          <cell r="H280">
            <v>0</v>
          </cell>
          <cell r="I280">
            <v>0</v>
          </cell>
          <cell r="J280">
            <v>51</v>
          </cell>
          <cell r="K280">
            <v>51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</row>
        <row r="281">
          <cell r="A281">
            <v>43280</v>
          </cell>
          <cell r="B281">
            <v>280</v>
          </cell>
          <cell r="C281">
            <v>188</v>
          </cell>
          <cell r="D281">
            <v>489</v>
          </cell>
          <cell r="E281">
            <v>2.601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42</v>
          </cell>
          <cell r="X281">
            <v>0</v>
          </cell>
          <cell r="Y281">
            <v>79</v>
          </cell>
          <cell r="Z281">
            <v>0</v>
          </cell>
        </row>
        <row r="282">
          <cell r="A282">
            <v>43281</v>
          </cell>
          <cell r="B282">
            <v>281</v>
          </cell>
          <cell r="C282">
            <v>72</v>
          </cell>
          <cell r="D282">
            <v>187</v>
          </cell>
          <cell r="E282">
            <v>2.597</v>
          </cell>
          <cell r="F282">
            <v>184</v>
          </cell>
          <cell r="G282">
            <v>184</v>
          </cell>
          <cell r="H282">
            <v>0</v>
          </cell>
          <cell r="I282">
            <v>0</v>
          </cell>
          <cell r="J282">
            <v>184</v>
          </cell>
          <cell r="K282">
            <v>154</v>
          </cell>
          <cell r="L282">
            <v>30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16</v>
          </cell>
          <cell r="X282">
            <v>0</v>
          </cell>
          <cell r="Y282">
            <v>30</v>
          </cell>
          <cell r="Z282">
            <v>0</v>
          </cell>
        </row>
        <row r="283">
          <cell r="A283">
            <v>43282</v>
          </cell>
          <cell r="B283">
            <v>282</v>
          </cell>
          <cell r="C283">
            <v>313</v>
          </cell>
          <cell r="D283">
            <v>814</v>
          </cell>
          <cell r="E283">
            <v>2.601</v>
          </cell>
          <cell r="F283">
            <v>187</v>
          </cell>
          <cell r="G283">
            <v>137</v>
          </cell>
          <cell r="H283">
            <v>0</v>
          </cell>
          <cell r="I283">
            <v>50</v>
          </cell>
          <cell r="J283">
            <v>187</v>
          </cell>
          <cell r="K283">
            <v>137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50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70</v>
          </cell>
          <cell r="X283">
            <v>0</v>
          </cell>
          <cell r="Y283">
            <v>132</v>
          </cell>
          <cell r="Z28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B1874-5D4A-4E94-BE1C-62BBA275935A}">
  <dimension ref="A1:X279"/>
  <sheetViews>
    <sheetView tabSelected="1" workbookViewId="0">
      <selection activeCell="G9" sqref="G9"/>
    </sheetView>
  </sheetViews>
  <sheetFormatPr defaultRowHeight="15" x14ac:dyDescent="0.25"/>
  <cols>
    <col min="1" max="1" width="12.28515625" bestFit="1" customWidth="1"/>
    <col min="2" max="2" width="12.5703125" bestFit="1" customWidth="1"/>
    <col min="3" max="3" width="8.7109375" bestFit="1" customWidth="1"/>
    <col min="4" max="4" width="10" bestFit="1" customWidth="1"/>
    <col min="5" max="5" width="8.85546875" bestFit="1" customWidth="1"/>
    <col min="6" max="6" width="17.5703125" bestFit="1" customWidth="1"/>
    <col min="7" max="7" width="13.5703125" bestFit="1" customWidth="1"/>
    <col min="8" max="8" width="14.85546875" bestFit="1" customWidth="1"/>
    <col min="9" max="9" width="13.7109375" bestFit="1" customWidth="1"/>
    <col min="10" max="10" width="17.5703125" bestFit="1" customWidth="1"/>
    <col min="11" max="11" width="13.5703125" bestFit="1" customWidth="1"/>
    <col min="12" max="12" width="14.85546875" bestFit="1" customWidth="1"/>
    <col min="13" max="13" width="13.7109375" bestFit="1" customWidth="1"/>
    <col min="14" max="14" width="17.5703125" bestFit="1" customWidth="1"/>
    <col min="15" max="15" width="13.5703125" bestFit="1" customWidth="1"/>
    <col min="16" max="16" width="14.85546875" bestFit="1" customWidth="1"/>
    <col min="17" max="17" width="13.7109375" bestFit="1" customWidth="1"/>
    <col min="18" max="21" width="6.28515625" bestFit="1" customWidth="1"/>
    <col min="23" max="23" width="11" bestFit="1" customWidth="1"/>
    <col min="24" max="24" width="12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tr">
        <f>"2032_"&amp;B1</f>
        <v>2032_SEC_HOME</v>
      </c>
      <c r="G1" t="str">
        <f>"2032_"&amp;C1</f>
        <v>2032_CABIN</v>
      </c>
      <c r="H1" t="str">
        <f>"2032_"&amp;D1</f>
        <v>2032_CONDO</v>
      </c>
      <c r="I1" t="str">
        <f>"2032_"&amp;E1</f>
        <v>2032_HOTEL</v>
      </c>
      <c r="J1" t="str">
        <f>"2042_"&amp;B1</f>
        <v>2042_SEC_HOME</v>
      </c>
      <c r="K1" t="str">
        <f>"2042_"&amp;C1</f>
        <v>2042_CABIN</v>
      </c>
      <c r="L1" t="str">
        <f>"2042_"&amp;D1</f>
        <v>2042_CONDO</v>
      </c>
      <c r="M1" t="str">
        <f>"2042_"&amp;E1</f>
        <v>2042_HOTEL</v>
      </c>
      <c r="N1" t="str">
        <f>"2050_"&amp;B1</f>
        <v>2050_SEC_HOME</v>
      </c>
      <c r="O1" t="str">
        <f>"2050_"&amp;C1</f>
        <v>2050_CABIN</v>
      </c>
      <c r="P1" t="str">
        <f>"2050_"&amp;D1</f>
        <v>2050_CONDO</v>
      </c>
      <c r="Q1" t="str">
        <f>"2050_"&amp;E1</f>
        <v>2050_HOTEL</v>
      </c>
      <c r="R1" t="s">
        <v>4</v>
      </c>
      <c r="S1" t="s">
        <v>4</v>
      </c>
      <c r="T1" t="s">
        <v>4</v>
      </c>
      <c r="U1" t="s">
        <v>4</v>
      </c>
    </row>
    <row r="2" spans="1:21" x14ac:dyDescent="0.25">
      <c r="A2">
        <v>43001</v>
      </c>
      <c r="B2">
        <v>2</v>
      </c>
      <c r="C2">
        <v>0</v>
      </c>
      <c r="D2">
        <v>0</v>
      </c>
      <c r="E2">
        <v>0</v>
      </c>
      <c r="F2">
        <f>VLOOKUP(A2,[1]SE_SUMMIT_2032_US40!$A:$Y,23,FALSE)</f>
        <v>2</v>
      </c>
      <c r="G2">
        <f>VLOOKUP(A2,[1]SE_SUMMIT_2032_US40!$A:$Y,24,FALSE)</f>
        <v>0</v>
      </c>
      <c r="H2">
        <f>VLOOKUP(A2,[1]SE_SUMMIT_2032_US40!$A:$Y,25,FALSE)</f>
        <v>0</v>
      </c>
      <c r="I2">
        <f>VLOOKUP(A2,[1]SE_SUMMIT_2032_US40!$A:$Z,26,FALSE)</f>
        <v>0</v>
      </c>
      <c r="J2">
        <f>VLOOKUP(A2,[2]SE_SUMMIT_2042_US40!$A:$Y,23,FALSE)</f>
        <v>2</v>
      </c>
      <c r="K2">
        <f>VLOOKUP(A2,[2]SE_SUMMIT_2042_US40!$A:$Y,24,FALSE)</f>
        <v>0</v>
      </c>
      <c r="L2">
        <f>VLOOKUP(A2,[2]SE_SUMMIT_2042_US40!$A:$Y,25,FALSE)</f>
        <v>0</v>
      </c>
      <c r="M2">
        <f>VLOOKUP(A2,[2]SE_SUMMIT_2042_US40!$A:$Z,26,FALSE)</f>
        <v>0</v>
      </c>
      <c r="N2">
        <f>VLOOKUP(A2,[3]SE_SUMMIT_2050_US40_Richardson_!$A:$Y,23,FALSE)</f>
        <v>2</v>
      </c>
      <c r="O2">
        <f>VLOOKUP(A2,[3]SE_SUMMIT_2050_US40_Richardson_!$A:$Y,24,FALSE)</f>
        <v>0</v>
      </c>
      <c r="P2">
        <f>VLOOKUP(A2,[3]SE_SUMMIT_2050_US40_Richardson_!$A:$Y,25,FALSE)</f>
        <v>0</v>
      </c>
      <c r="Q2">
        <f>VLOOKUP(A2,[3]SE_SUMMIT_2050_US40_Richardson_!$A:$Z,26,FALSE)</f>
        <v>0</v>
      </c>
      <c r="R2">
        <f>N2-B2</f>
        <v>0</v>
      </c>
      <c r="S2">
        <f>O2-C2</f>
        <v>0</v>
      </c>
      <c r="T2">
        <f>P2-D2</f>
        <v>0</v>
      </c>
      <c r="U2">
        <f>Q2-E2</f>
        <v>0</v>
      </c>
    </row>
    <row r="3" spans="1:21" x14ac:dyDescent="0.25">
      <c r="A3">
        <v>43002</v>
      </c>
      <c r="B3">
        <v>0</v>
      </c>
      <c r="C3">
        <v>0</v>
      </c>
      <c r="D3">
        <v>0</v>
      </c>
      <c r="E3">
        <v>0</v>
      </c>
      <c r="F3">
        <f>VLOOKUP(A3,[1]SE_SUMMIT_2032_US40!$A:$Y,23,FALSE)</f>
        <v>0</v>
      </c>
      <c r="G3">
        <f>VLOOKUP(A3,[1]SE_SUMMIT_2032_US40!$A:$Y,24,FALSE)</f>
        <v>0</v>
      </c>
      <c r="H3">
        <f>VLOOKUP(A3,[1]SE_SUMMIT_2032_US40!$A:$Y,25,FALSE)</f>
        <v>0</v>
      </c>
      <c r="I3">
        <f>VLOOKUP(A3,[1]SE_SUMMIT_2032_US40!$A:$Z,26,FALSE)</f>
        <v>0</v>
      </c>
      <c r="J3">
        <f>VLOOKUP(A3,[2]SE_SUMMIT_2042_US40!$A:$Y,23,FALSE)</f>
        <v>0</v>
      </c>
      <c r="K3">
        <f>VLOOKUP(A3,[2]SE_SUMMIT_2042_US40!$A:$Y,24,FALSE)</f>
        <v>0</v>
      </c>
      <c r="L3">
        <f>VLOOKUP(A3,[2]SE_SUMMIT_2042_US40!$A:$Y,25,FALSE)</f>
        <v>0</v>
      </c>
      <c r="M3">
        <f>VLOOKUP(A3,[2]SE_SUMMIT_2042_US40!$A:$Z,26,FALSE)</f>
        <v>0</v>
      </c>
      <c r="N3">
        <f>VLOOKUP(A3,[3]SE_SUMMIT_2050_US40_Richardson_!$A:$Y,23,FALSE)</f>
        <v>0</v>
      </c>
      <c r="O3">
        <f>VLOOKUP(A3,[3]SE_SUMMIT_2050_US40_Richardson_!$A:$Y,24,FALSE)</f>
        <v>0</v>
      </c>
      <c r="P3">
        <f>VLOOKUP(A3,[3]SE_SUMMIT_2050_US40_Richardson_!$A:$Y,25,FALSE)</f>
        <v>0</v>
      </c>
      <c r="Q3">
        <f>VLOOKUP(A3,[3]SE_SUMMIT_2050_US40_Richardson_!$A:$Z,26,FALSE)</f>
        <v>0</v>
      </c>
      <c r="R3">
        <f t="shared" ref="R3:R66" si="0">N3-B3</f>
        <v>0</v>
      </c>
      <c r="S3">
        <f t="shared" ref="S3:S66" si="1">O3-C3</f>
        <v>0</v>
      </c>
      <c r="T3">
        <f t="shared" ref="T3:T66" si="2">P3-D3</f>
        <v>0</v>
      </c>
      <c r="U3">
        <f t="shared" ref="U3:U66" si="3">Q3-E3</f>
        <v>0</v>
      </c>
    </row>
    <row r="4" spans="1:21" x14ac:dyDescent="0.25">
      <c r="A4">
        <v>43003</v>
      </c>
      <c r="B4">
        <v>13</v>
      </c>
      <c r="C4">
        <v>0</v>
      </c>
      <c r="D4">
        <v>0</v>
      </c>
      <c r="E4">
        <v>0</v>
      </c>
      <c r="F4">
        <f>VLOOKUP(A4,[1]SE_SUMMIT_2032_US40!$A:$Y,23,FALSE)</f>
        <v>13</v>
      </c>
      <c r="G4">
        <f>VLOOKUP(A4,[1]SE_SUMMIT_2032_US40!$A:$Y,24,FALSE)</f>
        <v>0</v>
      </c>
      <c r="H4">
        <f>VLOOKUP(A4,[1]SE_SUMMIT_2032_US40!$A:$Y,25,FALSE)</f>
        <v>0</v>
      </c>
      <c r="I4">
        <f>VLOOKUP(A4,[1]SE_SUMMIT_2032_US40!$A:$Z,26,FALSE)</f>
        <v>0</v>
      </c>
      <c r="J4">
        <f>VLOOKUP(A4,[2]SE_SUMMIT_2042_US40!$A:$Y,23,FALSE)</f>
        <v>13</v>
      </c>
      <c r="K4">
        <f>VLOOKUP(A4,[2]SE_SUMMIT_2042_US40!$A:$Y,24,FALSE)</f>
        <v>0</v>
      </c>
      <c r="L4">
        <f>VLOOKUP(A4,[2]SE_SUMMIT_2042_US40!$A:$Y,25,FALSE)</f>
        <v>0</v>
      </c>
      <c r="M4">
        <f>VLOOKUP(A4,[2]SE_SUMMIT_2042_US40!$A:$Z,26,FALSE)</f>
        <v>0</v>
      </c>
      <c r="N4">
        <f>VLOOKUP(A4,[3]SE_SUMMIT_2050_US40_Richardson_!$A:$Y,23,FALSE)</f>
        <v>13</v>
      </c>
      <c r="O4">
        <f>VLOOKUP(A4,[3]SE_SUMMIT_2050_US40_Richardson_!$A:$Y,24,FALSE)</f>
        <v>0</v>
      </c>
      <c r="P4">
        <f>VLOOKUP(A4,[3]SE_SUMMIT_2050_US40_Richardson_!$A:$Y,25,FALSE)</f>
        <v>0</v>
      </c>
      <c r="Q4">
        <f>VLOOKUP(A4,[3]SE_SUMMIT_2050_US40_Richardson_!$A:$Z,26,FALSE)</f>
        <v>0</v>
      </c>
      <c r="R4">
        <f t="shared" si="0"/>
        <v>0</v>
      </c>
      <c r="S4">
        <f t="shared" si="1"/>
        <v>0</v>
      </c>
      <c r="T4">
        <f t="shared" si="2"/>
        <v>0</v>
      </c>
      <c r="U4">
        <f t="shared" si="3"/>
        <v>0</v>
      </c>
    </row>
    <row r="5" spans="1:21" x14ac:dyDescent="0.25">
      <c r="A5">
        <v>43004</v>
      </c>
      <c r="B5">
        <v>98</v>
      </c>
      <c r="C5">
        <v>0</v>
      </c>
      <c r="D5">
        <v>0</v>
      </c>
      <c r="E5">
        <v>0</v>
      </c>
      <c r="F5">
        <f>VLOOKUP(A5,[1]SE_SUMMIT_2032_US40!$A:$Y,23,FALSE)</f>
        <v>98</v>
      </c>
      <c r="G5">
        <f>VLOOKUP(A5,[1]SE_SUMMIT_2032_US40!$A:$Y,24,FALSE)</f>
        <v>0</v>
      </c>
      <c r="H5">
        <f>VLOOKUP(A5,[1]SE_SUMMIT_2032_US40!$A:$Y,25,FALSE)</f>
        <v>0</v>
      </c>
      <c r="I5">
        <f>VLOOKUP(A5,[1]SE_SUMMIT_2032_US40!$A:$Z,26,FALSE)</f>
        <v>0</v>
      </c>
      <c r="J5">
        <f>VLOOKUP(A5,[2]SE_SUMMIT_2042_US40!$A:$Y,23,FALSE)</f>
        <v>98</v>
      </c>
      <c r="K5">
        <f>VLOOKUP(A5,[2]SE_SUMMIT_2042_US40!$A:$Y,24,FALSE)</f>
        <v>0</v>
      </c>
      <c r="L5">
        <f>VLOOKUP(A5,[2]SE_SUMMIT_2042_US40!$A:$Y,25,FALSE)</f>
        <v>0</v>
      </c>
      <c r="M5">
        <f>VLOOKUP(A5,[2]SE_SUMMIT_2042_US40!$A:$Z,26,FALSE)</f>
        <v>0</v>
      </c>
      <c r="N5">
        <f>VLOOKUP(A5,[3]SE_SUMMIT_2050_US40_Richardson_!$A:$Y,23,FALSE)</f>
        <v>98</v>
      </c>
      <c r="O5">
        <f>VLOOKUP(A5,[3]SE_SUMMIT_2050_US40_Richardson_!$A:$Y,24,FALSE)</f>
        <v>0</v>
      </c>
      <c r="P5">
        <f>VLOOKUP(A5,[3]SE_SUMMIT_2050_US40_Richardson_!$A:$Y,25,FALSE)</f>
        <v>0</v>
      </c>
      <c r="Q5">
        <f>VLOOKUP(A5,[3]SE_SUMMIT_2050_US40_Richardson_!$A:$Z,26,FALSE)</f>
        <v>0</v>
      </c>
      <c r="R5">
        <f t="shared" si="0"/>
        <v>0</v>
      </c>
      <c r="S5">
        <f t="shared" si="1"/>
        <v>0</v>
      </c>
      <c r="T5">
        <f t="shared" si="2"/>
        <v>0</v>
      </c>
      <c r="U5">
        <f t="shared" si="3"/>
        <v>0</v>
      </c>
    </row>
    <row r="6" spans="1:21" x14ac:dyDescent="0.25">
      <c r="A6">
        <v>43005</v>
      </c>
      <c r="B6">
        <v>92</v>
      </c>
      <c r="C6">
        <v>0</v>
      </c>
      <c r="D6">
        <v>0</v>
      </c>
      <c r="E6">
        <v>0</v>
      </c>
      <c r="F6">
        <f>VLOOKUP(A6,[1]SE_SUMMIT_2032_US40!$A:$Y,23,FALSE)</f>
        <v>92</v>
      </c>
      <c r="G6">
        <f>VLOOKUP(A6,[1]SE_SUMMIT_2032_US40!$A:$Y,24,FALSE)</f>
        <v>0</v>
      </c>
      <c r="H6">
        <f>VLOOKUP(A6,[1]SE_SUMMIT_2032_US40!$A:$Y,25,FALSE)</f>
        <v>0</v>
      </c>
      <c r="I6">
        <f>VLOOKUP(A6,[1]SE_SUMMIT_2032_US40!$A:$Z,26,FALSE)</f>
        <v>0</v>
      </c>
      <c r="J6">
        <f>VLOOKUP(A6,[2]SE_SUMMIT_2042_US40!$A:$Y,23,FALSE)</f>
        <v>92</v>
      </c>
      <c r="K6">
        <f>VLOOKUP(A6,[2]SE_SUMMIT_2042_US40!$A:$Y,24,FALSE)</f>
        <v>0</v>
      </c>
      <c r="L6">
        <f>VLOOKUP(A6,[2]SE_SUMMIT_2042_US40!$A:$Y,25,FALSE)</f>
        <v>0</v>
      </c>
      <c r="M6">
        <f>VLOOKUP(A6,[2]SE_SUMMIT_2042_US40!$A:$Z,26,FALSE)</f>
        <v>0</v>
      </c>
      <c r="N6">
        <f>VLOOKUP(A6,[3]SE_SUMMIT_2050_US40_Richardson_!$A:$Y,23,FALSE)</f>
        <v>92</v>
      </c>
      <c r="O6">
        <f>VLOOKUP(A6,[3]SE_SUMMIT_2050_US40_Richardson_!$A:$Y,24,FALSE)</f>
        <v>0</v>
      </c>
      <c r="P6">
        <f>VLOOKUP(A6,[3]SE_SUMMIT_2050_US40_Richardson_!$A:$Y,25,FALSE)</f>
        <v>0</v>
      </c>
      <c r="Q6">
        <f>VLOOKUP(A6,[3]SE_SUMMIT_2050_US40_Richardson_!$A:$Z,26,FALSE)</f>
        <v>0</v>
      </c>
      <c r="R6">
        <f t="shared" si="0"/>
        <v>0</v>
      </c>
      <c r="S6">
        <f t="shared" si="1"/>
        <v>0</v>
      </c>
      <c r="T6">
        <f t="shared" si="2"/>
        <v>0</v>
      </c>
      <c r="U6">
        <f t="shared" si="3"/>
        <v>0</v>
      </c>
    </row>
    <row r="7" spans="1:21" x14ac:dyDescent="0.25">
      <c r="A7">
        <v>43006</v>
      </c>
      <c r="B7">
        <v>0</v>
      </c>
      <c r="C7">
        <v>0</v>
      </c>
      <c r="D7">
        <v>0</v>
      </c>
      <c r="E7">
        <v>0</v>
      </c>
      <c r="F7">
        <f>VLOOKUP(A7,[1]SE_SUMMIT_2032_US40!$A:$Y,23,FALSE)</f>
        <v>0</v>
      </c>
      <c r="G7">
        <f>VLOOKUP(A7,[1]SE_SUMMIT_2032_US40!$A:$Y,24,FALSE)</f>
        <v>0</v>
      </c>
      <c r="H7">
        <f>VLOOKUP(A7,[1]SE_SUMMIT_2032_US40!$A:$Y,25,FALSE)</f>
        <v>0</v>
      </c>
      <c r="I7">
        <f>VLOOKUP(A7,[1]SE_SUMMIT_2032_US40!$A:$Z,26,FALSE)</f>
        <v>0</v>
      </c>
      <c r="J7">
        <f>VLOOKUP(A7,[2]SE_SUMMIT_2042_US40!$A:$Y,23,FALSE)</f>
        <v>0</v>
      </c>
      <c r="K7">
        <f>VLOOKUP(A7,[2]SE_SUMMIT_2042_US40!$A:$Y,24,FALSE)</f>
        <v>0</v>
      </c>
      <c r="L7">
        <f>VLOOKUP(A7,[2]SE_SUMMIT_2042_US40!$A:$Y,25,FALSE)</f>
        <v>0</v>
      </c>
      <c r="M7">
        <f>VLOOKUP(A7,[2]SE_SUMMIT_2042_US40!$A:$Z,26,FALSE)</f>
        <v>0</v>
      </c>
      <c r="N7">
        <f>VLOOKUP(A7,[3]SE_SUMMIT_2050_US40_Richardson_!$A:$Y,23,FALSE)</f>
        <v>0</v>
      </c>
      <c r="O7">
        <f>VLOOKUP(A7,[3]SE_SUMMIT_2050_US40_Richardson_!$A:$Y,24,FALSE)</f>
        <v>0</v>
      </c>
      <c r="P7">
        <f>VLOOKUP(A7,[3]SE_SUMMIT_2050_US40_Richardson_!$A:$Y,25,FALSE)</f>
        <v>0</v>
      </c>
      <c r="Q7">
        <f>VLOOKUP(A7,[3]SE_SUMMIT_2050_US40_Richardson_!$A:$Z,26,FALSE)</f>
        <v>0</v>
      </c>
      <c r="R7">
        <f t="shared" si="0"/>
        <v>0</v>
      </c>
      <c r="S7">
        <f t="shared" si="1"/>
        <v>0</v>
      </c>
      <c r="T7">
        <f t="shared" si="2"/>
        <v>0</v>
      </c>
      <c r="U7">
        <f t="shared" si="3"/>
        <v>0</v>
      </c>
    </row>
    <row r="8" spans="1:21" x14ac:dyDescent="0.25">
      <c r="A8">
        <v>43007</v>
      </c>
      <c r="B8">
        <v>0</v>
      </c>
      <c r="C8">
        <v>0</v>
      </c>
      <c r="D8">
        <v>0</v>
      </c>
      <c r="E8">
        <v>0</v>
      </c>
      <c r="F8">
        <f>VLOOKUP(A8,[1]SE_SUMMIT_2032_US40!$A:$Y,23,FALSE)</f>
        <v>0</v>
      </c>
      <c r="G8">
        <f>VLOOKUP(A8,[1]SE_SUMMIT_2032_US40!$A:$Y,24,FALSE)</f>
        <v>0</v>
      </c>
      <c r="H8">
        <f>VLOOKUP(A8,[1]SE_SUMMIT_2032_US40!$A:$Y,25,FALSE)</f>
        <v>0</v>
      </c>
      <c r="I8">
        <f>VLOOKUP(A8,[1]SE_SUMMIT_2032_US40!$A:$Z,26,FALSE)</f>
        <v>0</v>
      </c>
      <c r="J8">
        <f>VLOOKUP(A8,[2]SE_SUMMIT_2042_US40!$A:$Y,23,FALSE)</f>
        <v>0</v>
      </c>
      <c r="K8">
        <f>VLOOKUP(A8,[2]SE_SUMMIT_2042_US40!$A:$Y,24,FALSE)</f>
        <v>0</v>
      </c>
      <c r="L8">
        <f>VLOOKUP(A8,[2]SE_SUMMIT_2042_US40!$A:$Y,25,FALSE)</f>
        <v>0</v>
      </c>
      <c r="M8">
        <f>VLOOKUP(A8,[2]SE_SUMMIT_2042_US40!$A:$Z,26,FALSE)</f>
        <v>0</v>
      </c>
      <c r="N8">
        <f>VLOOKUP(A8,[3]SE_SUMMIT_2050_US40_Richardson_!$A:$Y,23,FALSE)</f>
        <v>0</v>
      </c>
      <c r="O8">
        <f>VLOOKUP(A8,[3]SE_SUMMIT_2050_US40_Richardson_!$A:$Y,24,FALSE)</f>
        <v>0</v>
      </c>
      <c r="P8">
        <f>VLOOKUP(A8,[3]SE_SUMMIT_2050_US40_Richardson_!$A:$Y,25,FALSE)</f>
        <v>0</v>
      </c>
      <c r="Q8">
        <f>VLOOKUP(A8,[3]SE_SUMMIT_2050_US40_Richardson_!$A:$Z,26,FALSE)</f>
        <v>0</v>
      </c>
      <c r="R8">
        <f t="shared" si="0"/>
        <v>0</v>
      </c>
      <c r="S8">
        <f t="shared" si="1"/>
        <v>0</v>
      </c>
      <c r="T8">
        <f t="shared" si="2"/>
        <v>0</v>
      </c>
      <c r="U8">
        <f t="shared" si="3"/>
        <v>0</v>
      </c>
    </row>
    <row r="9" spans="1:21" x14ac:dyDescent="0.25">
      <c r="A9">
        <v>43008</v>
      </c>
      <c r="B9">
        <v>0</v>
      </c>
      <c r="C9">
        <v>0</v>
      </c>
      <c r="D9">
        <v>0</v>
      </c>
      <c r="E9">
        <v>0</v>
      </c>
      <c r="F9">
        <f>VLOOKUP(A9,[1]SE_SUMMIT_2032_US40!$A:$Y,23,FALSE)</f>
        <v>0</v>
      </c>
      <c r="G9">
        <f>VLOOKUP(A9,[1]SE_SUMMIT_2032_US40!$A:$Y,24,FALSE)</f>
        <v>0</v>
      </c>
      <c r="H9">
        <f>VLOOKUP(A9,[1]SE_SUMMIT_2032_US40!$A:$Y,25,FALSE)</f>
        <v>0</v>
      </c>
      <c r="I9">
        <f>VLOOKUP(A9,[1]SE_SUMMIT_2032_US40!$A:$Z,26,FALSE)</f>
        <v>0</v>
      </c>
      <c r="J9">
        <f>VLOOKUP(A9,[2]SE_SUMMIT_2042_US40!$A:$Y,23,FALSE)</f>
        <v>0</v>
      </c>
      <c r="K9">
        <f>VLOOKUP(A9,[2]SE_SUMMIT_2042_US40!$A:$Y,24,FALSE)</f>
        <v>0</v>
      </c>
      <c r="L9">
        <f>VLOOKUP(A9,[2]SE_SUMMIT_2042_US40!$A:$Y,25,FALSE)</f>
        <v>0</v>
      </c>
      <c r="M9">
        <f>VLOOKUP(A9,[2]SE_SUMMIT_2042_US40!$A:$Z,26,FALSE)</f>
        <v>0</v>
      </c>
      <c r="N9">
        <f>VLOOKUP(A9,[3]SE_SUMMIT_2050_US40_Richardson_!$A:$Y,23,FALSE)</f>
        <v>0</v>
      </c>
      <c r="O9">
        <f>VLOOKUP(A9,[3]SE_SUMMIT_2050_US40_Richardson_!$A:$Y,24,FALSE)</f>
        <v>0</v>
      </c>
      <c r="P9">
        <f>VLOOKUP(A9,[3]SE_SUMMIT_2050_US40_Richardson_!$A:$Y,25,FALSE)</f>
        <v>0</v>
      </c>
      <c r="Q9">
        <f>VLOOKUP(A9,[3]SE_SUMMIT_2050_US40_Richardson_!$A:$Z,26,FALSE)</f>
        <v>0</v>
      </c>
      <c r="R9">
        <f t="shared" si="0"/>
        <v>0</v>
      </c>
      <c r="S9">
        <f t="shared" si="1"/>
        <v>0</v>
      </c>
      <c r="T9">
        <f t="shared" si="2"/>
        <v>0</v>
      </c>
      <c r="U9">
        <f t="shared" si="3"/>
        <v>0</v>
      </c>
    </row>
    <row r="10" spans="1:21" x14ac:dyDescent="0.25">
      <c r="A10">
        <v>43009</v>
      </c>
      <c r="B10">
        <v>120</v>
      </c>
      <c r="C10">
        <v>0</v>
      </c>
      <c r="D10">
        <v>0</v>
      </c>
      <c r="E10">
        <v>0</v>
      </c>
      <c r="F10">
        <f>VLOOKUP(A10,[1]SE_SUMMIT_2032_US40!$A:$Y,23,FALSE)</f>
        <v>120</v>
      </c>
      <c r="G10">
        <f>VLOOKUP(A10,[1]SE_SUMMIT_2032_US40!$A:$Y,24,FALSE)</f>
        <v>0</v>
      </c>
      <c r="H10">
        <f>VLOOKUP(A10,[1]SE_SUMMIT_2032_US40!$A:$Y,25,FALSE)</f>
        <v>0</v>
      </c>
      <c r="I10">
        <f>VLOOKUP(A10,[1]SE_SUMMIT_2032_US40!$A:$Z,26,FALSE)</f>
        <v>0</v>
      </c>
      <c r="J10">
        <f>VLOOKUP(A10,[2]SE_SUMMIT_2042_US40!$A:$Y,23,FALSE)</f>
        <v>120</v>
      </c>
      <c r="K10">
        <f>VLOOKUP(A10,[2]SE_SUMMIT_2042_US40!$A:$Y,24,FALSE)</f>
        <v>0</v>
      </c>
      <c r="L10">
        <f>VLOOKUP(A10,[2]SE_SUMMIT_2042_US40!$A:$Y,25,FALSE)</f>
        <v>0</v>
      </c>
      <c r="M10">
        <f>VLOOKUP(A10,[2]SE_SUMMIT_2042_US40!$A:$Z,26,FALSE)</f>
        <v>0</v>
      </c>
      <c r="N10">
        <f>VLOOKUP(A10,[3]SE_SUMMIT_2050_US40_Richardson_!$A:$Y,23,FALSE)</f>
        <v>120</v>
      </c>
      <c r="O10">
        <f>VLOOKUP(A10,[3]SE_SUMMIT_2050_US40_Richardson_!$A:$Y,24,FALSE)</f>
        <v>0</v>
      </c>
      <c r="P10">
        <f>VLOOKUP(A10,[3]SE_SUMMIT_2050_US40_Richardson_!$A:$Y,25,FALSE)</f>
        <v>0</v>
      </c>
      <c r="Q10">
        <f>VLOOKUP(A10,[3]SE_SUMMIT_2050_US40_Richardson_!$A:$Z,26,FALSE)</f>
        <v>0</v>
      </c>
      <c r="R10">
        <f t="shared" si="0"/>
        <v>0</v>
      </c>
      <c r="S10">
        <f t="shared" si="1"/>
        <v>0</v>
      </c>
      <c r="T10">
        <f t="shared" si="2"/>
        <v>0</v>
      </c>
      <c r="U10">
        <f t="shared" si="3"/>
        <v>0</v>
      </c>
    </row>
    <row r="11" spans="1:21" x14ac:dyDescent="0.25">
      <c r="A11">
        <v>43010</v>
      </c>
      <c r="B11">
        <v>79</v>
      </c>
      <c r="C11">
        <v>0</v>
      </c>
      <c r="D11">
        <v>0</v>
      </c>
      <c r="E11">
        <v>0</v>
      </c>
      <c r="F11">
        <f>VLOOKUP(A11,[1]SE_SUMMIT_2032_US40!$A:$Y,23,FALSE)</f>
        <v>79</v>
      </c>
      <c r="G11">
        <f>VLOOKUP(A11,[1]SE_SUMMIT_2032_US40!$A:$Y,24,FALSE)</f>
        <v>0</v>
      </c>
      <c r="H11">
        <f>VLOOKUP(A11,[1]SE_SUMMIT_2032_US40!$A:$Y,25,FALSE)</f>
        <v>0</v>
      </c>
      <c r="I11">
        <f>VLOOKUP(A11,[1]SE_SUMMIT_2032_US40!$A:$Z,26,FALSE)</f>
        <v>0</v>
      </c>
      <c r="J11">
        <f>VLOOKUP(A11,[2]SE_SUMMIT_2042_US40!$A:$Y,23,FALSE)</f>
        <v>79</v>
      </c>
      <c r="K11">
        <f>VLOOKUP(A11,[2]SE_SUMMIT_2042_US40!$A:$Y,24,FALSE)</f>
        <v>0</v>
      </c>
      <c r="L11">
        <f>VLOOKUP(A11,[2]SE_SUMMIT_2042_US40!$A:$Y,25,FALSE)</f>
        <v>0</v>
      </c>
      <c r="M11">
        <f>VLOOKUP(A11,[2]SE_SUMMIT_2042_US40!$A:$Z,26,FALSE)</f>
        <v>0</v>
      </c>
      <c r="N11">
        <f>VLOOKUP(A11,[3]SE_SUMMIT_2050_US40_Richardson_!$A:$Y,23,FALSE)</f>
        <v>79</v>
      </c>
      <c r="O11">
        <f>VLOOKUP(A11,[3]SE_SUMMIT_2050_US40_Richardson_!$A:$Y,24,FALSE)</f>
        <v>0</v>
      </c>
      <c r="P11">
        <f>VLOOKUP(A11,[3]SE_SUMMIT_2050_US40_Richardson_!$A:$Y,25,FALSE)</f>
        <v>0</v>
      </c>
      <c r="Q11">
        <f>VLOOKUP(A11,[3]SE_SUMMIT_2050_US40_Richardson_!$A:$Z,26,FALSE)</f>
        <v>0</v>
      </c>
      <c r="R11">
        <f t="shared" si="0"/>
        <v>0</v>
      </c>
      <c r="S11">
        <f t="shared" si="1"/>
        <v>0</v>
      </c>
      <c r="T11">
        <f t="shared" si="2"/>
        <v>0</v>
      </c>
      <c r="U11">
        <f t="shared" si="3"/>
        <v>0</v>
      </c>
    </row>
    <row r="12" spans="1:21" x14ac:dyDescent="0.25">
      <c r="A12">
        <v>43011</v>
      </c>
      <c r="B12">
        <v>64</v>
      </c>
      <c r="C12">
        <v>0</v>
      </c>
      <c r="D12">
        <v>0</v>
      </c>
      <c r="E12">
        <v>0</v>
      </c>
      <c r="F12">
        <f>VLOOKUP(A12,[1]SE_SUMMIT_2032_US40!$A:$Y,23,FALSE)</f>
        <v>64</v>
      </c>
      <c r="G12">
        <f>VLOOKUP(A12,[1]SE_SUMMIT_2032_US40!$A:$Y,24,FALSE)</f>
        <v>0</v>
      </c>
      <c r="H12">
        <f>VLOOKUP(A12,[1]SE_SUMMIT_2032_US40!$A:$Y,25,FALSE)</f>
        <v>0</v>
      </c>
      <c r="I12">
        <f>VLOOKUP(A12,[1]SE_SUMMIT_2032_US40!$A:$Z,26,FALSE)</f>
        <v>0</v>
      </c>
      <c r="J12">
        <f>VLOOKUP(A12,[2]SE_SUMMIT_2042_US40!$A:$Y,23,FALSE)</f>
        <v>64</v>
      </c>
      <c r="K12">
        <f>VLOOKUP(A12,[2]SE_SUMMIT_2042_US40!$A:$Y,24,FALSE)</f>
        <v>0</v>
      </c>
      <c r="L12">
        <f>VLOOKUP(A12,[2]SE_SUMMIT_2042_US40!$A:$Y,25,FALSE)</f>
        <v>0</v>
      </c>
      <c r="M12">
        <f>VLOOKUP(A12,[2]SE_SUMMIT_2042_US40!$A:$Z,26,FALSE)</f>
        <v>0</v>
      </c>
      <c r="N12">
        <f>VLOOKUP(A12,[3]SE_SUMMIT_2050_US40_Richardson_!$A:$Y,23,FALSE)</f>
        <v>64</v>
      </c>
      <c r="O12">
        <f>VLOOKUP(A12,[3]SE_SUMMIT_2050_US40_Richardson_!$A:$Y,24,FALSE)</f>
        <v>0</v>
      </c>
      <c r="P12">
        <f>VLOOKUP(A12,[3]SE_SUMMIT_2050_US40_Richardson_!$A:$Y,25,FALSE)</f>
        <v>0</v>
      </c>
      <c r="Q12">
        <f>VLOOKUP(A12,[3]SE_SUMMIT_2050_US40_Richardson_!$A:$Z,26,FALSE)</f>
        <v>0</v>
      </c>
      <c r="R12">
        <f t="shared" si="0"/>
        <v>0</v>
      </c>
      <c r="S12">
        <f t="shared" si="1"/>
        <v>0</v>
      </c>
      <c r="T12">
        <f t="shared" si="2"/>
        <v>0</v>
      </c>
      <c r="U12">
        <f t="shared" si="3"/>
        <v>0</v>
      </c>
    </row>
    <row r="13" spans="1:21" x14ac:dyDescent="0.25">
      <c r="A13">
        <v>43012</v>
      </c>
      <c r="B13">
        <v>12</v>
      </c>
      <c r="C13">
        <v>0</v>
      </c>
      <c r="D13">
        <v>0</v>
      </c>
      <c r="E13">
        <v>0</v>
      </c>
      <c r="F13">
        <f>VLOOKUP(A13,[1]SE_SUMMIT_2032_US40!$A:$Y,23,FALSE)</f>
        <v>12</v>
      </c>
      <c r="G13">
        <f>VLOOKUP(A13,[1]SE_SUMMIT_2032_US40!$A:$Y,24,FALSE)</f>
        <v>0</v>
      </c>
      <c r="H13">
        <f>VLOOKUP(A13,[1]SE_SUMMIT_2032_US40!$A:$Y,25,FALSE)</f>
        <v>0</v>
      </c>
      <c r="I13">
        <f>VLOOKUP(A13,[1]SE_SUMMIT_2032_US40!$A:$Z,26,FALSE)</f>
        <v>0</v>
      </c>
      <c r="J13">
        <f>VLOOKUP(A13,[2]SE_SUMMIT_2042_US40!$A:$Y,23,FALSE)</f>
        <v>12</v>
      </c>
      <c r="K13">
        <f>VLOOKUP(A13,[2]SE_SUMMIT_2042_US40!$A:$Y,24,FALSE)</f>
        <v>0</v>
      </c>
      <c r="L13">
        <f>VLOOKUP(A13,[2]SE_SUMMIT_2042_US40!$A:$Y,25,FALSE)</f>
        <v>0</v>
      </c>
      <c r="M13">
        <f>VLOOKUP(A13,[2]SE_SUMMIT_2042_US40!$A:$Z,26,FALSE)</f>
        <v>0</v>
      </c>
      <c r="N13">
        <f>VLOOKUP(A13,[3]SE_SUMMIT_2050_US40_Richardson_!$A:$Y,23,FALSE)</f>
        <v>12</v>
      </c>
      <c r="O13">
        <f>VLOOKUP(A13,[3]SE_SUMMIT_2050_US40_Richardson_!$A:$Y,24,FALSE)</f>
        <v>0</v>
      </c>
      <c r="P13">
        <f>VLOOKUP(A13,[3]SE_SUMMIT_2050_US40_Richardson_!$A:$Y,25,FALSE)</f>
        <v>0</v>
      </c>
      <c r="Q13">
        <f>VLOOKUP(A13,[3]SE_SUMMIT_2050_US40_Richardson_!$A:$Z,26,FALSE)</f>
        <v>0</v>
      </c>
      <c r="R13">
        <f t="shared" si="0"/>
        <v>0</v>
      </c>
      <c r="S13">
        <f t="shared" si="1"/>
        <v>0</v>
      </c>
      <c r="T13">
        <f t="shared" si="2"/>
        <v>0</v>
      </c>
      <c r="U13">
        <f t="shared" si="3"/>
        <v>0</v>
      </c>
    </row>
    <row r="14" spans="1:21" x14ac:dyDescent="0.25">
      <c r="A14">
        <v>43013</v>
      </c>
      <c r="B14">
        <v>10</v>
      </c>
      <c r="C14">
        <v>0</v>
      </c>
      <c r="D14">
        <v>0</v>
      </c>
      <c r="E14">
        <v>0</v>
      </c>
      <c r="F14">
        <f>VLOOKUP(A14,[1]SE_SUMMIT_2032_US40!$A:$Y,23,FALSE)</f>
        <v>10</v>
      </c>
      <c r="G14">
        <f>VLOOKUP(A14,[1]SE_SUMMIT_2032_US40!$A:$Y,24,FALSE)</f>
        <v>0</v>
      </c>
      <c r="H14">
        <f>VLOOKUP(A14,[1]SE_SUMMIT_2032_US40!$A:$Y,25,FALSE)</f>
        <v>0</v>
      </c>
      <c r="I14">
        <f>VLOOKUP(A14,[1]SE_SUMMIT_2032_US40!$A:$Z,26,FALSE)</f>
        <v>0</v>
      </c>
      <c r="J14">
        <f>VLOOKUP(A14,[2]SE_SUMMIT_2042_US40!$A:$Y,23,FALSE)</f>
        <v>10</v>
      </c>
      <c r="K14">
        <f>VLOOKUP(A14,[2]SE_SUMMIT_2042_US40!$A:$Y,24,FALSE)</f>
        <v>0</v>
      </c>
      <c r="L14">
        <f>VLOOKUP(A14,[2]SE_SUMMIT_2042_US40!$A:$Y,25,FALSE)</f>
        <v>0</v>
      </c>
      <c r="M14">
        <f>VLOOKUP(A14,[2]SE_SUMMIT_2042_US40!$A:$Z,26,FALSE)</f>
        <v>0</v>
      </c>
      <c r="N14">
        <f>VLOOKUP(A14,[3]SE_SUMMIT_2050_US40_Richardson_!$A:$Y,23,FALSE)</f>
        <v>10</v>
      </c>
      <c r="O14">
        <f>VLOOKUP(A14,[3]SE_SUMMIT_2050_US40_Richardson_!$A:$Y,24,FALSE)</f>
        <v>0</v>
      </c>
      <c r="P14">
        <f>VLOOKUP(A14,[3]SE_SUMMIT_2050_US40_Richardson_!$A:$Y,25,FALSE)</f>
        <v>0</v>
      </c>
      <c r="Q14">
        <f>VLOOKUP(A14,[3]SE_SUMMIT_2050_US40_Richardson_!$A:$Z,26,FALSE)</f>
        <v>0</v>
      </c>
      <c r="R14">
        <f t="shared" si="0"/>
        <v>0</v>
      </c>
      <c r="S14">
        <f t="shared" si="1"/>
        <v>0</v>
      </c>
      <c r="T14">
        <f t="shared" si="2"/>
        <v>0</v>
      </c>
      <c r="U14">
        <f t="shared" si="3"/>
        <v>0</v>
      </c>
    </row>
    <row r="15" spans="1:21" x14ac:dyDescent="0.25">
      <c r="A15">
        <v>43014</v>
      </c>
      <c r="B15">
        <v>11</v>
      </c>
      <c r="C15">
        <v>0</v>
      </c>
      <c r="D15">
        <v>0</v>
      </c>
      <c r="E15">
        <v>0</v>
      </c>
      <c r="F15">
        <f>VLOOKUP(A15,[1]SE_SUMMIT_2032_US40!$A:$Y,23,FALSE)</f>
        <v>11</v>
      </c>
      <c r="G15">
        <f>VLOOKUP(A15,[1]SE_SUMMIT_2032_US40!$A:$Y,24,FALSE)</f>
        <v>0</v>
      </c>
      <c r="H15">
        <f>VLOOKUP(A15,[1]SE_SUMMIT_2032_US40!$A:$Y,25,FALSE)</f>
        <v>0</v>
      </c>
      <c r="I15">
        <f>VLOOKUP(A15,[1]SE_SUMMIT_2032_US40!$A:$Z,26,FALSE)</f>
        <v>0</v>
      </c>
      <c r="J15">
        <f>VLOOKUP(A15,[2]SE_SUMMIT_2042_US40!$A:$Y,23,FALSE)</f>
        <v>11</v>
      </c>
      <c r="K15">
        <f>VLOOKUP(A15,[2]SE_SUMMIT_2042_US40!$A:$Y,24,FALSE)</f>
        <v>0</v>
      </c>
      <c r="L15">
        <f>VLOOKUP(A15,[2]SE_SUMMIT_2042_US40!$A:$Y,25,FALSE)</f>
        <v>0</v>
      </c>
      <c r="M15">
        <f>VLOOKUP(A15,[2]SE_SUMMIT_2042_US40!$A:$Z,26,FALSE)</f>
        <v>0</v>
      </c>
      <c r="N15">
        <f>VLOOKUP(A15,[3]SE_SUMMIT_2050_US40_Richardson_!$A:$Y,23,FALSE)</f>
        <v>11</v>
      </c>
      <c r="O15">
        <f>VLOOKUP(A15,[3]SE_SUMMIT_2050_US40_Richardson_!$A:$Y,24,FALSE)</f>
        <v>0</v>
      </c>
      <c r="P15">
        <f>VLOOKUP(A15,[3]SE_SUMMIT_2050_US40_Richardson_!$A:$Y,25,FALSE)</f>
        <v>0</v>
      </c>
      <c r="Q15">
        <f>VLOOKUP(A15,[3]SE_SUMMIT_2050_US40_Richardson_!$A:$Z,26,FALSE)</f>
        <v>0</v>
      </c>
      <c r="R15">
        <f t="shared" si="0"/>
        <v>0</v>
      </c>
      <c r="S15">
        <f t="shared" si="1"/>
        <v>0</v>
      </c>
      <c r="T15">
        <f t="shared" si="2"/>
        <v>0</v>
      </c>
      <c r="U15">
        <f t="shared" si="3"/>
        <v>0</v>
      </c>
    </row>
    <row r="16" spans="1:21" x14ac:dyDescent="0.25">
      <c r="A16">
        <v>43015</v>
      </c>
      <c r="B16">
        <v>12</v>
      </c>
      <c r="C16">
        <v>0</v>
      </c>
      <c r="D16">
        <v>0</v>
      </c>
      <c r="E16">
        <v>0</v>
      </c>
      <c r="F16">
        <f>VLOOKUP(A16,[1]SE_SUMMIT_2032_US40!$A:$Y,23,FALSE)</f>
        <v>12</v>
      </c>
      <c r="G16">
        <f>VLOOKUP(A16,[1]SE_SUMMIT_2032_US40!$A:$Y,24,FALSE)</f>
        <v>0</v>
      </c>
      <c r="H16">
        <f>VLOOKUP(A16,[1]SE_SUMMIT_2032_US40!$A:$Y,25,FALSE)</f>
        <v>0</v>
      </c>
      <c r="I16">
        <f>VLOOKUP(A16,[1]SE_SUMMIT_2032_US40!$A:$Z,26,FALSE)</f>
        <v>0</v>
      </c>
      <c r="J16">
        <f>VLOOKUP(A16,[2]SE_SUMMIT_2042_US40!$A:$Y,23,FALSE)</f>
        <v>12</v>
      </c>
      <c r="K16">
        <f>VLOOKUP(A16,[2]SE_SUMMIT_2042_US40!$A:$Y,24,FALSE)</f>
        <v>0</v>
      </c>
      <c r="L16">
        <f>VLOOKUP(A16,[2]SE_SUMMIT_2042_US40!$A:$Y,25,FALSE)</f>
        <v>0</v>
      </c>
      <c r="M16">
        <f>VLOOKUP(A16,[2]SE_SUMMIT_2042_US40!$A:$Z,26,FALSE)</f>
        <v>0</v>
      </c>
      <c r="N16">
        <f>VLOOKUP(A16,[3]SE_SUMMIT_2050_US40_Richardson_!$A:$Y,23,FALSE)</f>
        <v>12</v>
      </c>
      <c r="O16">
        <f>VLOOKUP(A16,[3]SE_SUMMIT_2050_US40_Richardson_!$A:$Y,24,FALSE)</f>
        <v>0</v>
      </c>
      <c r="P16">
        <f>VLOOKUP(A16,[3]SE_SUMMIT_2050_US40_Richardson_!$A:$Y,25,FALSE)</f>
        <v>0</v>
      </c>
      <c r="Q16">
        <f>VLOOKUP(A16,[3]SE_SUMMIT_2050_US40_Richardson_!$A:$Z,26,FALSE)</f>
        <v>0</v>
      </c>
      <c r="R16">
        <f t="shared" si="0"/>
        <v>0</v>
      </c>
      <c r="S16">
        <f t="shared" si="1"/>
        <v>0</v>
      </c>
      <c r="T16">
        <f t="shared" si="2"/>
        <v>0</v>
      </c>
      <c r="U16">
        <f t="shared" si="3"/>
        <v>0</v>
      </c>
    </row>
    <row r="17" spans="1:21" x14ac:dyDescent="0.25">
      <c r="A17">
        <v>43016</v>
      </c>
      <c r="B17">
        <v>17</v>
      </c>
      <c r="C17">
        <v>0</v>
      </c>
      <c r="D17">
        <v>0</v>
      </c>
      <c r="E17">
        <v>0</v>
      </c>
      <c r="F17">
        <f>VLOOKUP(A17,[1]SE_SUMMIT_2032_US40!$A:$Y,23,FALSE)</f>
        <v>17</v>
      </c>
      <c r="G17">
        <f>VLOOKUP(A17,[1]SE_SUMMIT_2032_US40!$A:$Y,24,FALSE)</f>
        <v>0</v>
      </c>
      <c r="H17">
        <f>VLOOKUP(A17,[1]SE_SUMMIT_2032_US40!$A:$Y,25,FALSE)</f>
        <v>0</v>
      </c>
      <c r="I17">
        <f>VLOOKUP(A17,[1]SE_SUMMIT_2032_US40!$A:$Z,26,FALSE)</f>
        <v>0</v>
      </c>
      <c r="J17">
        <f>VLOOKUP(A17,[2]SE_SUMMIT_2042_US40!$A:$Y,23,FALSE)</f>
        <v>17</v>
      </c>
      <c r="K17">
        <f>VLOOKUP(A17,[2]SE_SUMMIT_2042_US40!$A:$Y,24,FALSE)</f>
        <v>0</v>
      </c>
      <c r="L17">
        <f>VLOOKUP(A17,[2]SE_SUMMIT_2042_US40!$A:$Y,25,FALSE)</f>
        <v>0</v>
      </c>
      <c r="M17">
        <f>VLOOKUP(A17,[2]SE_SUMMIT_2042_US40!$A:$Z,26,FALSE)</f>
        <v>0</v>
      </c>
      <c r="N17">
        <f>VLOOKUP(A17,[3]SE_SUMMIT_2050_US40_Richardson_!$A:$Y,23,FALSE)</f>
        <v>17</v>
      </c>
      <c r="O17">
        <f>VLOOKUP(A17,[3]SE_SUMMIT_2050_US40_Richardson_!$A:$Y,24,FALSE)</f>
        <v>0</v>
      </c>
      <c r="P17">
        <f>VLOOKUP(A17,[3]SE_SUMMIT_2050_US40_Richardson_!$A:$Y,25,FALSE)</f>
        <v>0</v>
      </c>
      <c r="Q17">
        <f>VLOOKUP(A17,[3]SE_SUMMIT_2050_US40_Richardson_!$A:$Z,26,FALSE)</f>
        <v>0</v>
      </c>
      <c r="R17">
        <f t="shared" si="0"/>
        <v>0</v>
      </c>
      <c r="S17">
        <f t="shared" si="1"/>
        <v>0</v>
      </c>
      <c r="T17">
        <f t="shared" si="2"/>
        <v>0</v>
      </c>
      <c r="U17">
        <f t="shared" si="3"/>
        <v>0</v>
      </c>
    </row>
    <row r="18" spans="1:21" x14ac:dyDescent="0.25">
      <c r="A18">
        <v>43017</v>
      </c>
      <c r="B18">
        <v>76</v>
      </c>
      <c r="C18">
        <v>0</v>
      </c>
      <c r="D18">
        <v>0</v>
      </c>
      <c r="E18">
        <v>0</v>
      </c>
      <c r="F18">
        <f>VLOOKUP(A18,[1]SE_SUMMIT_2032_US40!$A:$Y,23,FALSE)</f>
        <v>76</v>
      </c>
      <c r="G18">
        <f>VLOOKUP(A18,[1]SE_SUMMIT_2032_US40!$A:$Y,24,FALSE)</f>
        <v>0</v>
      </c>
      <c r="H18">
        <f>VLOOKUP(A18,[1]SE_SUMMIT_2032_US40!$A:$Y,25,FALSE)</f>
        <v>0</v>
      </c>
      <c r="I18">
        <f>VLOOKUP(A18,[1]SE_SUMMIT_2032_US40!$A:$Z,26,FALSE)</f>
        <v>0</v>
      </c>
      <c r="J18">
        <f>VLOOKUP(A18,[2]SE_SUMMIT_2042_US40!$A:$Y,23,FALSE)</f>
        <v>76</v>
      </c>
      <c r="K18">
        <f>VLOOKUP(A18,[2]SE_SUMMIT_2042_US40!$A:$Y,24,FALSE)</f>
        <v>0</v>
      </c>
      <c r="L18">
        <f>VLOOKUP(A18,[2]SE_SUMMIT_2042_US40!$A:$Y,25,FALSE)</f>
        <v>0</v>
      </c>
      <c r="M18">
        <f>VLOOKUP(A18,[2]SE_SUMMIT_2042_US40!$A:$Z,26,FALSE)</f>
        <v>0</v>
      </c>
      <c r="N18">
        <f>VLOOKUP(A18,[3]SE_SUMMIT_2050_US40_Richardson_!$A:$Y,23,FALSE)</f>
        <v>76</v>
      </c>
      <c r="O18">
        <f>VLOOKUP(A18,[3]SE_SUMMIT_2050_US40_Richardson_!$A:$Y,24,FALSE)</f>
        <v>0</v>
      </c>
      <c r="P18">
        <f>VLOOKUP(A18,[3]SE_SUMMIT_2050_US40_Richardson_!$A:$Y,25,FALSE)</f>
        <v>0</v>
      </c>
      <c r="Q18">
        <f>VLOOKUP(A18,[3]SE_SUMMIT_2050_US40_Richardson_!$A:$Z,26,FALSE)</f>
        <v>0</v>
      </c>
      <c r="R18">
        <f t="shared" si="0"/>
        <v>0</v>
      </c>
      <c r="S18">
        <f t="shared" si="1"/>
        <v>0</v>
      </c>
      <c r="T18">
        <f t="shared" si="2"/>
        <v>0</v>
      </c>
      <c r="U18">
        <f t="shared" si="3"/>
        <v>0</v>
      </c>
    </row>
    <row r="19" spans="1:21" x14ac:dyDescent="0.25">
      <c r="A19">
        <v>43018</v>
      </c>
      <c r="B19">
        <v>17</v>
      </c>
      <c r="C19">
        <v>0</v>
      </c>
      <c r="D19">
        <v>0</v>
      </c>
      <c r="E19">
        <v>0</v>
      </c>
      <c r="F19">
        <f>VLOOKUP(A19,[1]SE_SUMMIT_2032_US40!$A:$Y,23,FALSE)</f>
        <v>17</v>
      </c>
      <c r="G19">
        <f>VLOOKUP(A19,[1]SE_SUMMIT_2032_US40!$A:$Y,24,FALSE)</f>
        <v>0</v>
      </c>
      <c r="H19">
        <f>VLOOKUP(A19,[1]SE_SUMMIT_2032_US40!$A:$Y,25,FALSE)</f>
        <v>0</v>
      </c>
      <c r="I19">
        <f>VLOOKUP(A19,[1]SE_SUMMIT_2032_US40!$A:$Z,26,FALSE)</f>
        <v>0</v>
      </c>
      <c r="J19">
        <f>VLOOKUP(A19,[2]SE_SUMMIT_2042_US40!$A:$Y,23,FALSE)</f>
        <v>17</v>
      </c>
      <c r="K19">
        <f>VLOOKUP(A19,[2]SE_SUMMIT_2042_US40!$A:$Y,24,FALSE)</f>
        <v>0</v>
      </c>
      <c r="L19">
        <f>VLOOKUP(A19,[2]SE_SUMMIT_2042_US40!$A:$Y,25,FALSE)</f>
        <v>0</v>
      </c>
      <c r="M19">
        <f>VLOOKUP(A19,[2]SE_SUMMIT_2042_US40!$A:$Z,26,FALSE)</f>
        <v>0</v>
      </c>
      <c r="N19">
        <f>VLOOKUP(A19,[3]SE_SUMMIT_2050_US40_Richardson_!$A:$Y,23,FALSE)</f>
        <v>17</v>
      </c>
      <c r="O19">
        <f>VLOOKUP(A19,[3]SE_SUMMIT_2050_US40_Richardson_!$A:$Y,24,FALSE)</f>
        <v>0</v>
      </c>
      <c r="P19">
        <f>VLOOKUP(A19,[3]SE_SUMMIT_2050_US40_Richardson_!$A:$Y,25,FALSE)</f>
        <v>0</v>
      </c>
      <c r="Q19">
        <f>VLOOKUP(A19,[3]SE_SUMMIT_2050_US40_Richardson_!$A:$Z,26,FALSE)</f>
        <v>0</v>
      </c>
      <c r="R19">
        <f t="shared" si="0"/>
        <v>0</v>
      </c>
      <c r="S19">
        <f t="shared" si="1"/>
        <v>0</v>
      </c>
      <c r="T19">
        <f t="shared" si="2"/>
        <v>0</v>
      </c>
      <c r="U19">
        <f t="shared" si="3"/>
        <v>0</v>
      </c>
    </row>
    <row r="20" spans="1:21" x14ac:dyDescent="0.25">
      <c r="A20">
        <v>43019</v>
      </c>
      <c r="B20">
        <v>20</v>
      </c>
      <c r="C20">
        <v>0</v>
      </c>
      <c r="D20">
        <v>0</v>
      </c>
      <c r="E20">
        <v>0</v>
      </c>
      <c r="F20">
        <f>VLOOKUP(A20,[1]SE_SUMMIT_2032_US40!$A:$Y,23,FALSE)</f>
        <v>20</v>
      </c>
      <c r="G20">
        <f>VLOOKUP(A20,[1]SE_SUMMIT_2032_US40!$A:$Y,24,FALSE)</f>
        <v>0</v>
      </c>
      <c r="H20">
        <f>VLOOKUP(A20,[1]SE_SUMMIT_2032_US40!$A:$Y,25,FALSE)</f>
        <v>0</v>
      </c>
      <c r="I20">
        <f>VLOOKUP(A20,[1]SE_SUMMIT_2032_US40!$A:$Z,26,FALSE)</f>
        <v>0</v>
      </c>
      <c r="J20">
        <f>VLOOKUP(A20,[2]SE_SUMMIT_2042_US40!$A:$Y,23,FALSE)</f>
        <v>20</v>
      </c>
      <c r="K20">
        <f>VLOOKUP(A20,[2]SE_SUMMIT_2042_US40!$A:$Y,24,FALSE)</f>
        <v>0</v>
      </c>
      <c r="L20">
        <f>VLOOKUP(A20,[2]SE_SUMMIT_2042_US40!$A:$Y,25,FALSE)</f>
        <v>0</v>
      </c>
      <c r="M20">
        <f>VLOOKUP(A20,[2]SE_SUMMIT_2042_US40!$A:$Z,26,FALSE)</f>
        <v>0</v>
      </c>
      <c r="N20">
        <f>VLOOKUP(A20,[3]SE_SUMMIT_2050_US40_Richardson_!$A:$Y,23,FALSE)</f>
        <v>20</v>
      </c>
      <c r="O20">
        <f>VLOOKUP(A20,[3]SE_SUMMIT_2050_US40_Richardson_!$A:$Y,24,FALSE)</f>
        <v>0</v>
      </c>
      <c r="P20">
        <f>VLOOKUP(A20,[3]SE_SUMMIT_2050_US40_Richardson_!$A:$Y,25,FALSE)</f>
        <v>0</v>
      </c>
      <c r="Q20">
        <f>VLOOKUP(A20,[3]SE_SUMMIT_2050_US40_Richardson_!$A:$Z,26,FALSE)</f>
        <v>0</v>
      </c>
      <c r="R20">
        <f t="shared" si="0"/>
        <v>0</v>
      </c>
      <c r="S20">
        <f t="shared" si="1"/>
        <v>0</v>
      </c>
      <c r="T20">
        <f t="shared" si="2"/>
        <v>0</v>
      </c>
      <c r="U20">
        <f t="shared" si="3"/>
        <v>0</v>
      </c>
    </row>
    <row r="21" spans="1:21" x14ac:dyDescent="0.25">
      <c r="A21">
        <v>43020</v>
      </c>
      <c r="B21">
        <v>0</v>
      </c>
      <c r="C21">
        <v>0</v>
      </c>
      <c r="D21">
        <v>0</v>
      </c>
      <c r="E21">
        <v>0</v>
      </c>
      <c r="F21">
        <f>VLOOKUP(A21,[1]SE_SUMMIT_2032_US40!$A:$Y,23,FALSE)</f>
        <v>0</v>
      </c>
      <c r="G21">
        <f>VLOOKUP(A21,[1]SE_SUMMIT_2032_US40!$A:$Y,24,FALSE)</f>
        <v>0</v>
      </c>
      <c r="H21">
        <f>VLOOKUP(A21,[1]SE_SUMMIT_2032_US40!$A:$Y,25,FALSE)</f>
        <v>0</v>
      </c>
      <c r="I21">
        <f>VLOOKUP(A21,[1]SE_SUMMIT_2032_US40!$A:$Z,26,FALSE)</f>
        <v>0</v>
      </c>
      <c r="J21">
        <f>VLOOKUP(A21,[2]SE_SUMMIT_2042_US40!$A:$Y,23,FALSE)</f>
        <v>0</v>
      </c>
      <c r="K21">
        <f>VLOOKUP(A21,[2]SE_SUMMIT_2042_US40!$A:$Y,24,FALSE)</f>
        <v>0</v>
      </c>
      <c r="L21">
        <f>VLOOKUP(A21,[2]SE_SUMMIT_2042_US40!$A:$Y,25,FALSE)</f>
        <v>0</v>
      </c>
      <c r="M21">
        <f>VLOOKUP(A21,[2]SE_SUMMIT_2042_US40!$A:$Z,26,FALSE)</f>
        <v>0</v>
      </c>
      <c r="N21">
        <f>VLOOKUP(A21,[3]SE_SUMMIT_2050_US40_Richardson_!$A:$Y,23,FALSE)</f>
        <v>0</v>
      </c>
      <c r="O21">
        <f>VLOOKUP(A21,[3]SE_SUMMIT_2050_US40_Richardson_!$A:$Y,24,FALSE)</f>
        <v>0</v>
      </c>
      <c r="P21">
        <f>VLOOKUP(A21,[3]SE_SUMMIT_2050_US40_Richardson_!$A:$Y,25,FALSE)</f>
        <v>0</v>
      </c>
      <c r="Q21">
        <f>VLOOKUP(A21,[3]SE_SUMMIT_2050_US40_Richardson_!$A:$Z,26,FALSE)</f>
        <v>0</v>
      </c>
      <c r="R21">
        <f t="shared" si="0"/>
        <v>0</v>
      </c>
      <c r="S21">
        <f t="shared" si="1"/>
        <v>0</v>
      </c>
      <c r="T21">
        <f t="shared" si="2"/>
        <v>0</v>
      </c>
      <c r="U21">
        <f t="shared" si="3"/>
        <v>0</v>
      </c>
    </row>
    <row r="22" spans="1:21" x14ac:dyDescent="0.25">
      <c r="A22">
        <v>43021</v>
      </c>
      <c r="B22">
        <v>18</v>
      </c>
      <c r="C22">
        <v>0</v>
      </c>
      <c r="D22">
        <v>0</v>
      </c>
      <c r="E22">
        <v>0</v>
      </c>
      <c r="F22">
        <f>VLOOKUP(A22,[1]SE_SUMMIT_2032_US40!$A:$Y,23,FALSE)</f>
        <v>18</v>
      </c>
      <c r="G22">
        <f>VLOOKUP(A22,[1]SE_SUMMIT_2032_US40!$A:$Y,24,FALSE)</f>
        <v>0</v>
      </c>
      <c r="H22">
        <f>VLOOKUP(A22,[1]SE_SUMMIT_2032_US40!$A:$Y,25,FALSE)</f>
        <v>0</v>
      </c>
      <c r="I22">
        <f>VLOOKUP(A22,[1]SE_SUMMIT_2032_US40!$A:$Z,26,FALSE)</f>
        <v>0</v>
      </c>
      <c r="J22">
        <f>VLOOKUP(A22,[2]SE_SUMMIT_2042_US40!$A:$Y,23,FALSE)</f>
        <v>18</v>
      </c>
      <c r="K22">
        <f>VLOOKUP(A22,[2]SE_SUMMIT_2042_US40!$A:$Y,24,FALSE)</f>
        <v>0</v>
      </c>
      <c r="L22">
        <f>VLOOKUP(A22,[2]SE_SUMMIT_2042_US40!$A:$Y,25,FALSE)</f>
        <v>0</v>
      </c>
      <c r="M22">
        <f>VLOOKUP(A22,[2]SE_SUMMIT_2042_US40!$A:$Z,26,FALSE)</f>
        <v>0</v>
      </c>
      <c r="N22">
        <f>VLOOKUP(A22,[3]SE_SUMMIT_2050_US40_Richardson_!$A:$Y,23,FALSE)</f>
        <v>18</v>
      </c>
      <c r="O22">
        <f>VLOOKUP(A22,[3]SE_SUMMIT_2050_US40_Richardson_!$A:$Y,24,FALSE)</f>
        <v>0</v>
      </c>
      <c r="P22">
        <f>VLOOKUP(A22,[3]SE_SUMMIT_2050_US40_Richardson_!$A:$Y,25,FALSE)</f>
        <v>0</v>
      </c>
      <c r="Q22">
        <f>VLOOKUP(A22,[3]SE_SUMMIT_2050_US40_Richardson_!$A:$Z,26,FALSE)</f>
        <v>0</v>
      </c>
      <c r="R22">
        <f t="shared" si="0"/>
        <v>0</v>
      </c>
      <c r="S22">
        <f t="shared" si="1"/>
        <v>0</v>
      </c>
      <c r="T22">
        <f t="shared" si="2"/>
        <v>0</v>
      </c>
      <c r="U22">
        <f t="shared" si="3"/>
        <v>0</v>
      </c>
    </row>
    <row r="23" spans="1:21" x14ac:dyDescent="0.25">
      <c r="A23">
        <v>43022</v>
      </c>
      <c r="B23">
        <v>26</v>
      </c>
      <c r="C23">
        <v>0</v>
      </c>
      <c r="D23">
        <v>0</v>
      </c>
      <c r="E23">
        <v>0</v>
      </c>
      <c r="F23">
        <f>VLOOKUP(A23,[1]SE_SUMMIT_2032_US40!$A:$Y,23,FALSE)</f>
        <v>26</v>
      </c>
      <c r="G23">
        <f>VLOOKUP(A23,[1]SE_SUMMIT_2032_US40!$A:$Y,24,FALSE)</f>
        <v>0</v>
      </c>
      <c r="H23">
        <f>VLOOKUP(A23,[1]SE_SUMMIT_2032_US40!$A:$Y,25,FALSE)</f>
        <v>0</v>
      </c>
      <c r="I23">
        <f>VLOOKUP(A23,[1]SE_SUMMIT_2032_US40!$A:$Z,26,FALSE)</f>
        <v>0</v>
      </c>
      <c r="J23">
        <f>VLOOKUP(A23,[2]SE_SUMMIT_2042_US40!$A:$Y,23,FALSE)</f>
        <v>26</v>
      </c>
      <c r="K23">
        <f>VLOOKUP(A23,[2]SE_SUMMIT_2042_US40!$A:$Y,24,FALSE)</f>
        <v>0</v>
      </c>
      <c r="L23">
        <f>VLOOKUP(A23,[2]SE_SUMMIT_2042_US40!$A:$Y,25,FALSE)</f>
        <v>0</v>
      </c>
      <c r="M23">
        <f>VLOOKUP(A23,[2]SE_SUMMIT_2042_US40!$A:$Z,26,FALSE)</f>
        <v>0</v>
      </c>
      <c r="N23">
        <f>VLOOKUP(A23,[3]SE_SUMMIT_2050_US40_Richardson_!$A:$Y,23,FALSE)</f>
        <v>26</v>
      </c>
      <c r="O23">
        <f>VLOOKUP(A23,[3]SE_SUMMIT_2050_US40_Richardson_!$A:$Y,24,FALSE)</f>
        <v>0</v>
      </c>
      <c r="P23">
        <f>VLOOKUP(A23,[3]SE_SUMMIT_2050_US40_Richardson_!$A:$Y,25,FALSE)</f>
        <v>0</v>
      </c>
      <c r="Q23">
        <f>VLOOKUP(A23,[3]SE_SUMMIT_2050_US40_Richardson_!$A:$Z,26,FALSE)</f>
        <v>0</v>
      </c>
      <c r="R23">
        <f t="shared" si="0"/>
        <v>0</v>
      </c>
      <c r="S23">
        <f t="shared" si="1"/>
        <v>0</v>
      </c>
      <c r="T23">
        <f t="shared" si="2"/>
        <v>0</v>
      </c>
      <c r="U23">
        <f t="shared" si="3"/>
        <v>0</v>
      </c>
    </row>
    <row r="24" spans="1:21" x14ac:dyDescent="0.25">
      <c r="A24">
        <v>43023</v>
      </c>
      <c r="B24">
        <v>0</v>
      </c>
      <c r="C24">
        <v>0</v>
      </c>
      <c r="D24">
        <v>0</v>
      </c>
      <c r="E24">
        <v>0</v>
      </c>
      <c r="F24">
        <f>VLOOKUP(A24,[1]SE_SUMMIT_2032_US40!$A:$Y,23,FALSE)</f>
        <v>0</v>
      </c>
      <c r="G24">
        <f>VLOOKUP(A24,[1]SE_SUMMIT_2032_US40!$A:$Y,24,FALSE)</f>
        <v>0</v>
      </c>
      <c r="H24">
        <f>VLOOKUP(A24,[1]SE_SUMMIT_2032_US40!$A:$Y,25,FALSE)</f>
        <v>0</v>
      </c>
      <c r="I24">
        <f>VLOOKUP(A24,[1]SE_SUMMIT_2032_US40!$A:$Z,26,FALSE)</f>
        <v>0</v>
      </c>
      <c r="J24">
        <f>VLOOKUP(A24,[2]SE_SUMMIT_2042_US40!$A:$Y,23,FALSE)</f>
        <v>0</v>
      </c>
      <c r="K24">
        <f>VLOOKUP(A24,[2]SE_SUMMIT_2042_US40!$A:$Y,24,FALSE)</f>
        <v>0</v>
      </c>
      <c r="L24">
        <f>VLOOKUP(A24,[2]SE_SUMMIT_2042_US40!$A:$Y,25,FALSE)</f>
        <v>0</v>
      </c>
      <c r="M24">
        <f>VLOOKUP(A24,[2]SE_SUMMIT_2042_US40!$A:$Z,26,FALSE)</f>
        <v>0</v>
      </c>
      <c r="N24">
        <f>VLOOKUP(A24,[3]SE_SUMMIT_2050_US40_Richardson_!$A:$Y,23,FALSE)</f>
        <v>0</v>
      </c>
      <c r="O24">
        <f>VLOOKUP(A24,[3]SE_SUMMIT_2050_US40_Richardson_!$A:$Y,24,FALSE)</f>
        <v>0</v>
      </c>
      <c r="P24">
        <f>VLOOKUP(A24,[3]SE_SUMMIT_2050_US40_Richardson_!$A:$Y,25,FALSE)</f>
        <v>0</v>
      </c>
      <c r="Q24">
        <f>VLOOKUP(A24,[3]SE_SUMMIT_2050_US40_Richardson_!$A:$Z,26,FALSE)</f>
        <v>0</v>
      </c>
      <c r="R24">
        <f t="shared" si="0"/>
        <v>0</v>
      </c>
      <c r="S24">
        <f t="shared" si="1"/>
        <v>0</v>
      </c>
      <c r="T24">
        <f t="shared" si="2"/>
        <v>0</v>
      </c>
      <c r="U24">
        <f t="shared" si="3"/>
        <v>0</v>
      </c>
    </row>
    <row r="25" spans="1:21" x14ac:dyDescent="0.25">
      <c r="A25">
        <v>43024</v>
      </c>
      <c r="B25">
        <v>18</v>
      </c>
      <c r="C25">
        <v>0</v>
      </c>
      <c r="D25">
        <v>0</v>
      </c>
      <c r="E25">
        <v>0</v>
      </c>
      <c r="F25">
        <f>VLOOKUP(A25,[1]SE_SUMMIT_2032_US40!$A:$Y,23,FALSE)</f>
        <v>18</v>
      </c>
      <c r="G25">
        <f>VLOOKUP(A25,[1]SE_SUMMIT_2032_US40!$A:$Y,24,FALSE)</f>
        <v>0</v>
      </c>
      <c r="H25">
        <f>VLOOKUP(A25,[1]SE_SUMMIT_2032_US40!$A:$Y,25,FALSE)</f>
        <v>0</v>
      </c>
      <c r="I25">
        <f>VLOOKUP(A25,[1]SE_SUMMIT_2032_US40!$A:$Z,26,FALSE)</f>
        <v>0</v>
      </c>
      <c r="J25">
        <f>VLOOKUP(A25,[2]SE_SUMMIT_2042_US40!$A:$Y,23,FALSE)</f>
        <v>18</v>
      </c>
      <c r="K25">
        <f>VLOOKUP(A25,[2]SE_SUMMIT_2042_US40!$A:$Y,24,FALSE)</f>
        <v>0</v>
      </c>
      <c r="L25">
        <f>VLOOKUP(A25,[2]SE_SUMMIT_2042_US40!$A:$Y,25,FALSE)</f>
        <v>0</v>
      </c>
      <c r="M25">
        <f>VLOOKUP(A25,[2]SE_SUMMIT_2042_US40!$A:$Z,26,FALSE)</f>
        <v>0</v>
      </c>
      <c r="N25">
        <f>VLOOKUP(A25,[3]SE_SUMMIT_2050_US40_Richardson_!$A:$Y,23,FALSE)</f>
        <v>18</v>
      </c>
      <c r="O25">
        <f>VLOOKUP(A25,[3]SE_SUMMIT_2050_US40_Richardson_!$A:$Y,24,FALSE)</f>
        <v>0</v>
      </c>
      <c r="P25">
        <f>VLOOKUP(A25,[3]SE_SUMMIT_2050_US40_Richardson_!$A:$Y,25,FALSE)</f>
        <v>0</v>
      </c>
      <c r="Q25">
        <f>VLOOKUP(A25,[3]SE_SUMMIT_2050_US40_Richardson_!$A:$Z,26,FALSE)</f>
        <v>0</v>
      </c>
      <c r="R25">
        <f t="shared" si="0"/>
        <v>0</v>
      </c>
      <c r="S25">
        <f t="shared" si="1"/>
        <v>0</v>
      </c>
      <c r="T25">
        <f t="shared" si="2"/>
        <v>0</v>
      </c>
      <c r="U25">
        <f t="shared" si="3"/>
        <v>0</v>
      </c>
    </row>
    <row r="26" spans="1:21" x14ac:dyDescent="0.25">
      <c r="A26">
        <v>43025</v>
      </c>
      <c r="B26">
        <v>0</v>
      </c>
      <c r="C26">
        <v>0</v>
      </c>
      <c r="D26">
        <v>0</v>
      </c>
      <c r="E26">
        <v>0</v>
      </c>
      <c r="F26">
        <f>VLOOKUP(A26,[1]SE_SUMMIT_2032_US40!$A:$Y,23,FALSE)</f>
        <v>0</v>
      </c>
      <c r="G26">
        <f>VLOOKUP(A26,[1]SE_SUMMIT_2032_US40!$A:$Y,24,FALSE)</f>
        <v>0</v>
      </c>
      <c r="H26">
        <f>VLOOKUP(A26,[1]SE_SUMMIT_2032_US40!$A:$Y,25,FALSE)</f>
        <v>0</v>
      </c>
      <c r="I26">
        <f>VLOOKUP(A26,[1]SE_SUMMIT_2032_US40!$A:$Z,26,FALSE)</f>
        <v>0</v>
      </c>
      <c r="J26">
        <f>VLOOKUP(A26,[2]SE_SUMMIT_2042_US40!$A:$Y,23,FALSE)</f>
        <v>0</v>
      </c>
      <c r="K26">
        <f>VLOOKUP(A26,[2]SE_SUMMIT_2042_US40!$A:$Y,24,FALSE)</f>
        <v>0</v>
      </c>
      <c r="L26">
        <f>VLOOKUP(A26,[2]SE_SUMMIT_2042_US40!$A:$Y,25,FALSE)</f>
        <v>0</v>
      </c>
      <c r="M26">
        <f>VLOOKUP(A26,[2]SE_SUMMIT_2042_US40!$A:$Z,26,FALSE)</f>
        <v>0</v>
      </c>
      <c r="N26">
        <f>VLOOKUP(A26,[3]SE_SUMMIT_2050_US40_Richardson_!$A:$Y,23,FALSE)</f>
        <v>0</v>
      </c>
      <c r="O26">
        <f>VLOOKUP(A26,[3]SE_SUMMIT_2050_US40_Richardson_!$A:$Y,24,FALSE)</f>
        <v>0</v>
      </c>
      <c r="P26">
        <f>VLOOKUP(A26,[3]SE_SUMMIT_2050_US40_Richardson_!$A:$Y,25,FALSE)</f>
        <v>0</v>
      </c>
      <c r="Q26">
        <f>VLOOKUP(A26,[3]SE_SUMMIT_2050_US40_Richardson_!$A:$Z,26,FALSE)</f>
        <v>0</v>
      </c>
      <c r="R26">
        <f t="shared" si="0"/>
        <v>0</v>
      </c>
      <c r="S26">
        <f t="shared" si="1"/>
        <v>0</v>
      </c>
      <c r="T26">
        <f t="shared" si="2"/>
        <v>0</v>
      </c>
      <c r="U26">
        <f t="shared" si="3"/>
        <v>0</v>
      </c>
    </row>
    <row r="27" spans="1:21" x14ac:dyDescent="0.25">
      <c r="A27">
        <v>43026</v>
      </c>
      <c r="B27">
        <v>0</v>
      </c>
      <c r="C27">
        <v>0</v>
      </c>
      <c r="D27">
        <v>0</v>
      </c>
      <c r="E27">
        <v>0</v>
      </c>
      <c r="F27">
        <f>VLOOKUP(A27,[1]SE_SUMMIT_2032_US40!$A:$Y,23,FALSE)</f>
        <v>0</v>
      </c>
      <c r="G27">
        <f>VLOOKUP(A27,[1]SE_SUMMIT_2032_US40!$A:$Y,24,FALSE)</f>
        <v>0</v>
      </c>
      <c r="H27">
        <f>VLOOKUP(A27,[1]SE_SUMMIT_2032_US40!$A:$Y,25,FALSE)</f>
        <v>0</v>
      </c>
      <c r="I27">
        <f>VLOOKUP(A27,[1]SE_SUMMIT_2032_US40!$A:$Z,26,FALSE)</f>
        <v>0</v>
      </c>
      <c r="J27">
        <f>VLOOKUP(A27,[2]SE_SUMMIT_2042_US40!$A:$Y,23,FALSE)</f>
        <v>0</v>
      </c>
      <c r="K27">
        <f>VLOOKUP(A27,[2]SE_SUMMIT_2042_US40!$A:$Y,24,FALSE)</f>
        <v>0</v>
      </c>
      <c r="L27">
        <f>VLOOKUP(A27,[2]SE_SUMMIT_2042_US40!$A:$Y,25,FALSE)</f>
        <v>0</v>
      </c>
      <c r="M27">
        <f>VLOOKUP(A27,[2]SE_SUMMIT_2042_US40!$A:$Z,26,FALSE)</f>
        <v>0</v>
      </c>
      <c r="N27">
        <f>VLOOKUP(A27,[3]SE_SUMMIT_2050_US40_Richardson_!$A:$Y,23,FALSE)</f>
        <v>0</v>
      </c>
      <c r="O27">
        <f>VLOOKUP(A27,[3]SE_SUMMIT_2050_US40_Richardson_!$A:$Y,24,FALSE)</f>
        <v>0</v>
      </c>
      <c r="P27">
        <f>VLOOKUP(A27,[3]SE_SUMMIT_2050_US40_Richardson_!$A:$Y,25,FALSE)</f>
        <v>0</v>
      </c>
      <c r="Q27">
        <f>VLOOKUP(A27,[3]SE_SUMMIT_2050_US40_Richardson_!$A:$Z,26,FALSE)</f>
        <v>0</v>
      </c>
      <c r="R27">
        <f t="shared" si="0"/>
        <v>0</v>
      </c>
      <c r="S27">
        <f t="shared" si="1"/>
        <v>0</v>
      </c>
      <c r="T27">
        <f t="shared" si="2"/>
        <v>0</v>
      </c>
      <c r="U27">
        <f t="shared" si="3"/>
        <v>0</v>
      </c>
    </row>
    <row r="28" spans="1:21" x14ac:dyDescent="0.25">
      <c r="A28">
        <v>43027</v>
      </c>
      <c r="B28">
        <v>0</v>
      </c>
      <c r="C28">
        <v>0</v>
      </c>
      <c r="D28">
        <v>0</v>
      </c>
      <c r="E28">
        <v>0</v>
      </c>
      <c r="F28">
        <f>VLOOKUP(A28,[1]SE_SUMMIT_2032_US40!$A:$Y,23,FALSE)</f>
        <v>0</v>
      </c>
      <c r="G28">
        <f>VLOOKUP(A28,[1]SE_SUMMIT_2032_US40!$A:$Y,24,FALSE)</f>
        <v>0</v>
      </c>
      <c r="H28">
        <f>VLOOKUP(A28,[1]SE_SUMMIT_2032_US40!$A:$Y,25,FALSE)</f>
        <v>0</v>
      </c>
      <c r="I28">
        <f>VLOOKUP(A28,[1]SE_SUMMIT_2032_US40!$A:$Z,26,FALSE)</f>
        <v>0</v>
      </c>
      <c r="J28">
        <f>VLOOKUP(A28,[2]SE_SUMMIT_2042_US40!$A:$Y,23,FALSE)</f>
        <v>0</v>
      </c>
      <c r="K28">
        <f>VLOOKUP(A28,[2]SE_SUMMIT_2042_US40!$A:$Y,24,FALSE)</f>
        <v>0</v>
      </c>
      <c r="L28">
        <f>VLOOKUP(A28,[2]SE_SUMMIT_2042_US40!$A:$Y,25,FALSE)</f>
        <v>0</v>
      </c>
      <c r="M28">
        <f>VLOOKUP(A28,[2]SE_SUMMIT_2042_US40!$A:$Z,26,FALSE)</f>
        <v>0</v>
      </c>
      <c r="N28">
        <f>VLOOKUP(A28,[3]SE_SUMMIT_2050_US40_Richardson_!$A:$Y,23,FALSE)</f>
        <v>0</v>
      </c>
      <c r="O28">
        <f>VLOOKUP(A28,[3]SE_SUMMIT_2050_US40_Richardson_!$A:$Y,24,FALSE)</f>
        <v>0</v>
      </c>
      <c r="P28">
        <f>VLOOKUP(A28,[3]SE_SUMMIT_2050_US40_Richardson_!$A:$Y,25,FALSE)</f>
        <v>0</v>
      </c>
      <c r="Q28">
        <f>VLOOKUP(A28,[3]SE_SUMMIT_2050_US40_Richardson_!$A:$Z,26,FALSE)</f>
        <v>0</v>
      </c>
      <c r="R28">
        <f t="shared" si="0"/>
        <v>0</v>
      </c>
      <c r="S28">
        <f t="shared" si="1"/>
        <v>0</v>
      </c>
      <c r="T28">
        <f t="shared" si="2"/>
        <v>0</v>
      </c>
      <c r="U28">
        <f t="shared" si="3"/>
        <v>0</v>
      </c>
    </row>
    <row r="29" spans="1:21" x14ac:dyDescent="0.25">
      <c r="A29">
        <v>43028</v>
      </c>
      <c r="B29">
        <v>0</v>
      </c>
      <c r="C29">
        <v>0</v>
      </c>
      <c r="D29">
        <v>0</v>
      </c>
      <c r="E29">
        <v>0</v>
      </c>
      <c r="F29">
        <f>VLOOKUP(A29,[1]SE_SUMMIT_2032_US40!$A:$Y,23,FALSE)</f>
        <v>0</v>
      </c>
      <c r="G29">
        <f>VLOOKUP(A29,[1]SE_SUMMIT_2032_US40!$A:$Y,24,FALSE)</f>
        <v>0</v>
      </c>
      <c r="H29">
        <f>VLOOKUP(A29,[1]SE_SUMMIT_2032_US40!$A:$Y,25,FALSE)</f>
        <v>0</v>
      </c>
      <c r="I29">
        <f>VLOOKUP(A29,[1]SE_SUMMIT_2032_US40!$A:$Z,26,FALSE)</f>
        <v>130</v>
      </c>
      <c r="J29">
        <f>VLOOKUP(A29,[2]SE_SUMMIT_2042_US40!$A:$Y,23,FALSE)</f>
        <v>0</v>
      </c>
      <c r="K29">
        <f>VLOOKUP(A29,[2]SE_SUMMIT_2042_US40!$A:$Y,24,FALSE)</f>
        <v>0</v>
      </c>
      <c r="L29">
        <f>VLOOKUP(A29,[2]SE_SUMMIT_2042_US40!$A:$Y,25,FALSE)</f>
        <v>0</v>
      </c>
      <c r="M29">
        <f>VLOOKUP(A29,[2]SE_SUMMIT_2042_US40!$A:$Z,26,FALSE)</f>
        <v>130</v>
      </c>
      <c r="N29">
        <f>VLOOKUP(A29,[3]SE_SUMMIT_2050_US40_Richardson_!$A:$Y,23,FALSE)</f>
        <v>0</v>
      </c>
      <c r="O29">
        <f>VLOOKUP(A29,[3]SE_SUMMIT_2050_US40_Richardson_!$A:$Y,24,FALSE)</f>
        <v>0</v>
      </c>
      <c r="P29">
        <f>VLOOKUP(A29,[3]SE_SUMMIT_2050_US40_Richardson_!$A:$Y,25,FALSE)</f>
        <v>0</v>
      </c>
      <c r="Q29">
        <f>VLOOKUP(A29,[3]SE_SUMMIT_2050_US40_Richardson_!$A:$Z,26,FALSE)</f>
        <v>130</v>
      </c>
      <c r="R29">
        <f t="shared" si="0"/>
        <v>0</v>
      </c>
      <c r="S29">
        <f t="shared" si="1"/>
        <v>0</v>
      </c>
      <c r="T29">
        <f t="shared" si="2"/>
        <v>0</v>
      </c>
      <c r="U29">
        <f t="shared" si="3"/>
        <v>130</v>
      </c>
    </row>
    <row r="30" spans="1:21" x14ac:dyDescent="0.25">
      <c r="A30">
        <v>43029</v>
      </c>
      <c r="B30">
        <v>0</v>
      </c>
      <c r="C30">
        <v>0</v>
      </c>
      <c r="D30">
        <v>0</v>
      </c>
      <c r="E30">
        <v>81</v>
      </c>
      <c r="F30">
        <f>VLOOKUP(A30,[1]SE_SUMMIT_2032_US40!$A:$Y,23,FALSE)</f>
        <v>0</v>
      </c>
      <c r="G30">
        <f>VLOOKUP(A30,[1]SE_SUMMIT_2032_US40!$A:$Y,24,FALSE)</f>
        <v>0</v>
      </c>
      <c r="H30">
        <f>VLOOKUP(A30,[1]SE_SUMMIT_2032_US40!$A:$Y,25,FALSE)</f>
        <v>0</v>
      </c>
      <c r="I30">
        <f>VLOOKUP(A30,[1]SE_SUMMIT_2032_US40!$A:$Z,26,FALSE)</f>
        <v>81</v>
      </c>
      <c r="J30">
        <f>VLOOKUP(A30,[2]SE_SUMMIT_2042_US40!$A:$Y,23,FALSE)</f>
        <v>0</v>
      </c>
      <c r="K30">
        <f>VLOOKUP(A30,[2]SE_SUMMIT_2042_US40!$A:$Y,24,FALSE)</f>
        <v>0</v>
      </c>
      <c r="L30">
        <f>VLOOKUP(A30,[2]SE_SUMMIT_2042_US40!$A:$Y,25,FALSE)</f>
        <v>0</v>
      </c>
      <c r="M30">
        <f>VLOOKUP(A30,[2]SE_SUMMIT_2042_US40!$A:$Z,26,FALSE)</f>
        <v>81</v>
      </c>
      <c r="N30">
        <f>VLOOKUP(A30,[3]SE_SUMMIT_2050_US40_Richardson_!$A:$Y,23,FALSE)</f>
        <v>0</v>
      </c>
      <c r="O30">
        <f>VLOOKUP(A30,[3]SE_SUMMIT_2050_US40_Richardson_!$A:$Y,24,FALSE)</f>
        <v>0</v>
      </c>
      <c r="P30">
        <f>VLOOKUP(A30,[3]SE_SUMMIT_2050_US40_Richardson_!$A:$Y,25,FALSE)</f>
        <v>0</v>
      </c>
      <c r="Q30">
        <f>VLOOKUP(A30,[3]SE_SUMMIT_2050_US40_Richardson_!$A:$Z,26,FALSE)</f>
        <v>81</v>
      </c>
      <c r="R30">
        <f t="shared" si="0"/>
        <v>0</v>
      </c>
      <c r="S30">
        <f t="shared" si="1"/>
        <v>0</v>
      </c>
      <c r="T30">
        <f t="shared" si="2"/>
        <v>0</v>
      </c>
      <c r="U30">
        <f t="shared" si="3"/>
        <v>0</v>
      </c>
    </row>
    <row r="31" spans="1:21" x14ac:dyDescent="0.25">
      <c r="A31">
        <v>43030</v>
      </c>
      <c r="B31">
        <v>0</v>
      </c>
      <c r="C31">
        <v>0</v>
      </c>
      <c r="D31">
        <v>0</v>
      </c>
      <c r="E31">
        <v>105</v>
      </c>
      <c r="F31">
        <f>VLOOKUP(A31,[1]SE_SUMMIT_2032_US40!$A:$Y,23,FALSE)</f>
        <v>0</v>
      </c>
      <c r="G31">
        <f>VLOOKUP(A31,[1]SE_SUMMIT_2032_US40!$A:$Y,24,FALSE)</f>
        <v>0</v>
      </c>
      <c r="H31">
        <f>VLOOKUP(A31,[1]SE_SUMMIT_2032_US40!$A:$Y,25,FALSE)</f>
        <v>0</v>
      </c>
      <c r="I31">
        <f>VLOOKUP(A31,[1]SE_SUMMIT_2032_US40!$A:$Z,26,FALSE)</f>
        <v>105</v>
      </c>
      <c r="J31">
        <f>VLOOKUP(A31,[2]SE_SUMMIT_2042_US40!$A:$Y,23,FALSE)</f>
        <v>0</v>
      </c>
      <c r="K31">
        <f>VLOOKUP(A31,[2]SE_SUMMIT_2042_US40!$A:$Y,24,FALSE)</f>
        <v>0</v>
      </c>
      <c r="L31">
        <f>VLOOKUP(A31,[2]SE_SUMMIT_2042_US40!$A:$Y,25,FALSE)</f>
        <v>0</v>
      </c>
      <c r="M31">
        <f>VLOOKUP(A31,[2]SE_SUMMIT_2042_US40!$A:$Z,26,FALSE)</f>
        <v>105</v>
      </c>
      <c r="N31">
        <f>VLOOKUP(A31,[3]SE_SUMMIT_2050_US40_Richardson_!$A:$Y,23,FALSE)</f>
        <v>0</v>
      </c>
      <c r="O31">
        <f>VLOOKUP(A31,[3]SE_SUMMIT_2050_US40_Richardson_!$A:$Y,24,FALSE)</f>
        <v>0</v>
      </c>
      <c r="P31">
        <f>VLOOKUP(A31,[3]SE_SUMMIT_2050_US40_Richardson_!$A:$Y,25,FALSE)</f>
        <v>0</v>
      </c>
      <c r="Q31">
        <f>VLOOKUP(A31,[3]SE_SUMMIT_2050_US40_Richardson_!$A:$Z,26,FALSE)</f>
        <v>105</v>
      </c>
      <c r="R31">
        <f t="shared" si="0"/>
        <v>0</v>
      </c>
      <c r="S31">
        <f t="shared" si="1"/>
        <v>0</v>
      </c>
      <c r="T31">
        <f t="shared" si="2"/>
        <v>0</v>
      </c>
      <c r="U31">
        <f t="shared" si="3"/>
        <v>0</v>
      </c>
    </row>
    <row r="32" spans="1:21" x14ac:dyDescent="0.25">
      <c r="A32">
        <v>43031</v>
      </c>
      <c r="B32">
        <v>0</v>
      </c>
      <c r="C32">
        <v>0</v>
      </c>
      <c r="D32">
        <v>0</v>
      </c>
      <c r="E32">
        <v>0</v>
      </c>
      <c r="F32">
        <f>VLOOKUP(A32,[1]SE_SUMMIT_2032_US40!$A:$Y,23,FALSE)</f>
        <v>0</v>
      </c>
      <c r="G32">
        <f>VLOOKUP(A32,[1]SE_SUMMIT_2032_US40!$A:$Y,24,FALSE)</f>
        <v>0</v>
      </c>
      <c r="H32">
        <f>VLOOKUP(A32,[1]SE_SUMMIT_2032_US40!$A:$Y,25,FALSE)</f>
        <v>0</v>
      </c>
      <c r="I32">
        <f>VLOOKUP(A32,[1]SE_SUMMIT_2032_US40!$A:$Z,26,FALSE)</f>
        <v>0</v>
      </c>
      <c r="J32">
        <f>VLOOKUP(A32,[2]SE_SUMMIT_2042_US40!$A:$Y,23,FALSE)</f>
        <v>0</v>
      </c>
      <c r="K32">
        <f>VLOOKUP(A32,[2]SE_SUMMIT_2042_US40!$A:$Y,24,FALSE)</f>
        <v>0</v>
      </c>
      <c r="L32">
        <f>VLOOKUP(A32,[2]SE_SUMMIT_2042_US40!$A:$Y,25,FALSE)</f>
        <v>0</v>
      </c>
      <c r="M32">
        <f>VLOOKUP(A32,[2]SE_SUMMIT_2042_US40!$A:$Z,26,FALSE)</f>
        <v>0</v>
      </c>
      <c r="N32">
        <f>VLOOKUP(A32,[3]SE_SUMMIT_2050_US40_Richardson_!$A:$Y,23,FALSE)</f>
        <v>0</v>
      </c>
      <c r="O32">
        <f>VLOOKUP(A32,[3]SE_SUMMIT_2050_US40_Richardson_!$A:$Y,24,FALSE)</f>
        <v>0</v>
      </c>
      <c r="P32">
        <f>VLOOKUP(A32,[3]SE_SUMMIT_2050_US40_Richardson_!$A:$Y,25,FALSE)</f>
        <v>0</v>
      </c>
      <c r="Q32">
        <f>VLOOKUP(A32,[3]SE_SUMMIT_2050_US40_Richardson_!$A:$Z,26,FALSE)</f>
        <v>0</v>
      </c>
      <c r="R32">
        <f t="shared" si="0"/>
        <v>0</v>
      </c>
      <c r="S32">
        <f t="shared" si="1"/>
        <v>0</v>
      </c>
      <c r="T32">
        <f t="shared" si="2"/>
        <v>0</v>
      </c>
      <c r="U32">
        <f t="shared" si="3"/>
        <v>0</v>
      </c>
    </row>
    <row r="33" spans="1:21" x14ac:dyDescent="0.25">
      <c r="A33">
        <v>43032</v>
      </c>
      <c r="B33">
        <v>0</v>
      </c>
      <c r="C33">
        <v>0</v>
      </c>
      <c r="D33">
        <v>0</v>
      </c>
      <c r="E33">
        <v>0</v>
      </c>
      <c r="F33">
        <f>VLOOKUP(A33,[1]SE_SUMMIT_2032_US40!$A:$Y,23,FALSE)</f>
        <v>0</v>
      </c>
      <c r="G33">
        <f>VLOOKUP(A33,[1]SE_SUMMIT_2032_US40!$A:$Y,24,FALSE)</f>
        <v>0</v>
      </c>
      <c r="H33">
        <f>VLOOKUP(A33,[1]SE_SUMMIT_2032_US40!$A:$Y,25,FALSE)</f>
        <v>0</v>
      </c>
      <c r="I33">
        <f>VLOOKUP(A33,[1]SE_SUMMIT_2032_US40!$A:$Z,26,FALSE)</f>
        <v>0</v>
      </c>
      <c r="J33">
        <f>VLOOKUP(A33,[2]SE_SUMMIT_2042_US40!$A:$Y,23,FALSE)</f>
        <v>0</v>
      </c>
      <c r="K33">
        <f>VLOOKUP(A33,[2]SE_SUMMIT_2042_US40!$A:$Y,24,FALSE)</f>
        <v>0</v>
      </c>
      <c r="L33">
        <f>VLOOKUP(A33,[2]SE_SUMMIT_2042_US40!$A:$Y,25,FALSE)</f>
        <v>0</v>
      </c>
      <c r="M33">
        <f>VLOOKUP(A33,[2]SE_SUMMIT_2042_US40!$A:$Z,26,FALSE)</f>
        <v>0</v>
      </c>
      <c r="N33">
        <f>VLOOKUP(A33,[3]SE_SUMMIT_2050_US40_Richardson_!$A:$Y,23,FALSE)</f>
        <v>0</v>
      </c>
      <c r="O33">
        <f>VLOOKUP(A33,[3]SE_SUMMIT_2050_US40_Richardson_!$A:$Y,24,FALSE)</f>
        <v>0</v>
      </c>
      <c r="P33">
        <f>VLOOKUP(A33,[3]SE_SUMMIT_2050_US40_Richardson_!$A:$Y,25,FALSE)</f>
        <v>0</v>
      </c>
      <c r="Q33">
        <f>VLOOKUP(A33,[3]SE_SUMMIT_2050_US40_Richardson_!$A:$Z,26,FALSE)</f>
        <v>0</v>
      </c>
      <c r="R33">
        <f t="shared" si="0"/>
        <v>0</v>
      </c>
      <c r="S33">
        <f t="shared" si="1"/>
        <v>0</v>
      </c>
      <c r="T33">
        <f t="shared" si="2"/>
        <v>0</v>
      </c>
      <c r="U33">
        <f t="shared" si="3"/>
        <v>0</v>
      </c>
    </row>
    <row r="34" spans="1:21" x14ac:dyDescent="0.25">
      <c r="A34">
        <v>43033</v>
      </c>
      <c r="B34">
        <v>0</v>
      </c>
      <c r="C34">
        <v>0</v>
      </c>
      <c r="D34">
        <v>97</v>
      </c>
      <c r="E34">
        <v>198</v>
      </c>
      <c r="F34">
        <f>VLOOKUP(A34,[1]SE_SUMMIT_2032_US40!$A:$Y,23,FALSE)</f>
        <v>0</v>
      </c>
      <c r="G34">
        <f>VLOOKUP(A34,[1]SE_SUMMIT_2032_US40!$A:$Y,24,FALSE)</f>
        <v>0</v>
      </c>
      <c r="H34">
        <f>VLOOKUP(A34,[1]SE_SUMMIT_2032_US40!$A:$Y,25,FALSE)</f>
        <v>97</v>
      </c>
      <c r="I34">
        <f>VLOOKUP(A34,[1]SE_SUMMIT_2032_US40!$A:$Z,26,FALSE)</f>
        <v>198</v>
      </c>
      <c r="J34">
        <f>VLOOKUP(A34,[2]SE_SUMMIT_2042_US40!$A:$Y,23,FALSE)</f>
        <v>0</v>
      </c>
      <c r="K34">
        <f>VLOOKUP(A34,[2]SE_SUMMIT_2042_US40!$A:$Y,24,FALSE)</f>
        <v>0</v>
      </c>
      <c r="L34">
        <f>VLOOKUP(A34,[2]SE_SUMMIT_2042_US40!$A:$Y,25,FALSE)</f>
        <v>97</v>
      </c>
      <c r="M34">
        <f>VLOOKUP(A34,[2]SE_SUMMIT_2042_US40!$A:$Z,26,FALSE)</f>
        <v>198</v>
      </c>
      <c r="N34">
        <f>VLOOKUP(A34,[3]SE_SUMMIT_2050_US40_Richardson_!$A:$Y,23,FALSE)</f>
        <v>0</v>
      </c>
      <c r="O34">
        <f>VLOOKUP(A34,[3]SE_SUMMIT_2050_US40_Richardson_!$A:$Y,24,FALSE)</f>
        <v>0</v>
      </c>
      <c r="P34">
        <f>VLOOKUP(A34,[3]SE_SUMMIT_2050_US40_Richardson_!$A:$Y,25,FALSE)</f>
        <v>97</v>
      </c>
      <c r="Q34">
        <f>VLOOKUP(A34,[3]SE_SUMMIT_2050_US40_Richardson_!$A:$Z,26,FALSE)</f>
        <v>198</v>
      </c>
      <c r="R34">
        <f t="shared" si="0"/>
        <v>0</v>
      </c>
      <c r="S34">
        <f t="shared" si="1"/>
        <v>0</v>
      </c>
      <c r="T34">
        <f t="shared" si="2"/>
        <v>0</v>
      </c>
      <c r="U34">
        <f t="shared" si="3"/>
        <v>0</v>
      </c>
    </row>
    <row r="35" spans="1:21" x14ac:dyDescent="0.25">
      <c r="A35">
        <v>43034</v>
      </c>
      <c r="B35">
        <v>0</v>
      </c>
      <c r="C35">
        <v>0</v>
      </c>
      <c r="D35">
        <v>0</v>
      </c>
      <c r="E35">
        <v>0</v>
      </c>
      <c r="F35">
        <f>VLOOKUP(A35,[1]SE_SUMMIT_2032_US40!$A:$Y,23,FALSE)</f>
        <v>0</v>
      </c>
      <c r="G35">
        <f>VLOOKUP(A35,[1]SE_SUMMIT_2032_US40!$A:$Y,24,FALSE)</f>
        <v>0</v>
      </c>
      <c r="H35">
        <f>VLOOKUP(A35,[1]SE_SUMMIT_2032_US40!$A:$Y,25,FALSE)</f>
        <v>0</v>
      </c>
      <c r="I35">
        <f>VLOOKUP(A35,[1]SE_SUMMIT_2032_US40!$A:$Z,26,FALSE)</f>
        <v>0</v>
      </c>
      <c r="J35">
        <f>VLOOKUP(A35,[2]SE_SUMMIT_2042_US40!$A:$Y,23,FALSE)</f>
        <v>0</v>
      </c>
      <c r="K35">
        <f>VLOOKUP(A35,[2]SE_SUMMIT_2042_US40!$A:$Y,24,FALSE)</f>
        <v>0</v>
      </c>
      <c r="L35">
        <f>VLOOKUP(A35,[2]SE_SUMMIT_2042_US40!$A:$Y,25,FALSE)</f>
        <v>0</v>
      </c>
      <c r="M35">
        <f>VLOOKUP(A35,[2]SE_SUMMIT_2042_US40!$A:$Z,26,FALSE)</f>
        <v>0</v>
      </c>
      <c r="N35">
        <f>VLOOKUP(A35,[3]SE_SUMMIT_2050_US40_Richardson_!$A:$Y,23,FALSE)</f>
        <v>0</v>
      </c>
      <c r="O35">
        <f>VLOOKUP(A35,[3]SE_SUMMIT_2050_US40_Richardson_!$A:$Y,24,FALSE)</f>
        <v>0</v>
      </c>
      <c r="P35">
        <f>VLOOKUP(A35,[3]SE_SUMMIT_2050_US40_Richardson_!$A:$Y,25,FALSE)</f>
        <v>0</v>
      </c>
      <c r="Q35">
        <f>VLOOKUP(A35,[3]SE_SUMMIT_2050_US40_Richardson_!$A:$Z,26,FALSE)</f>
        <v>0</v>
      </c>
      <c r="R35">
        <f t="shared" si="0"/>
        <v>0</v>
      </c>
      <c r="S35">
        <f t="shared" si="1"/>
        <v>0</v>
      </c>
      <c r="T35">
        <f t="shared" si="2"/>
        <v>0</v>
      </c>
      <c r="U35">
        <f t="shared" si="3"/>
        <v>0</v>
      </c>
    </row>
    <row r="36" spans="1:21" x14ac:dyDescent="0.25">
      <c r="A36">
        <v>43035</v>
      </c>
      <c r="B36">
        <v>0</v>
      </c>
      <c r="C36">
        <v>0</v>
      </c>
      <c r="D36">
        <v>272</v>
      </c>
      <c r="E36">
        <v>0</v>
      </c>
      <c r="F36">
        <f>VLOOKUP(A36,[1]SE_SUMMIT_2032_US40!$A:$Y,23,FALSE)</f>
        <v>0</v>
      </c>
      <c r="G36">
        <f>VLOOKUP(A36,[1]SE_SUMMIT_2032_US40!$A:$Y,24,FALSE)</f>
        <v>0</v>
      </c>
      <c r="H36">
        <f>VLOOKUP(A36,[1]SE_SUMMIT_2032_US40!$A:$Y,25,FALSE)</f>
        <v>272</v>
      </c>
      <c r="I36">
        <f>VLOOKUP(A36,[1]SE_SUMMIT_2032_US40!$A:$Z,26,FALSE)</f>
        <v>0</v>
      </c>
      <c r="J36">
        <f>VLOOKUP(A36,[2]SE_SUMMIT_2042_US40!$A:$Y,23,FALSE)</f>
        <v>0</v>
      </c>
      <c r="K36">
        <f>VLOOKUP(A36,[2]SE_SUMMIT_2042_US40!$A:$Y,24,FALSE)</f>
        <v>0</v>
      </c>
      <c r="L36">
        <f>VLOOKUP(A36,[2]SE_SUMMIT_2042_US40!$A:$Y,25,FALSE)</f>
        <v>272</v>
      </c>
      <c r="M36">
        <f>VLOOKUP(A36,[2]SE_SUMMIT_2042_US40!$A:$Z,26,FALSE)</f>
        <v>0</v>
      </c>
      <c r="N36">
        <f>VLOOKUP(A36,[3]SE_SUMMIT_2050_US40_Richardson_!$A:$Y,23,FALSE)</f>
        <v>0</v>
      </c>
      <c r="O36">
        <f>VLOOKUP(A36,[3]SE_SUMMIT_2050_US40_Richardson_!$A:$Y,24,FALSE)</f>
        <v>0</v>
      </c>
      <c r="P36">
        <f>VLOOKUP(A36,[3]SE_SUMMIT_2050_US40_Richardson_!$A:$Y,25,FALSE)</f>
        <v>272</v>
      </c>
      <c r="Q36">
        <f>VLOOKUP(A36,[3]SE_SUMMIT_2050_US40_Richardson_!$A:$Z,26,FALSE)</f>
        <v>0</v>
      </c>
      <c r="R36">
        <f t="shared" si="0"/>
        <v>0</v>
      </c>
      <c r="S36">
        <f t="shared" si="1"/>
        <v>0</v>
      </c>
      <c r="T36">
        <f t="shared" si="2"/>
        <v>0</v>
      </c>
      <c r="U36">
        <f t="shared" si="3"/>
        <v>0</v>
      </c>
    </row>
    <row r="37" spans="1:21" x14ac:dyDescent="0.25">
      <c r="A37">
        <v>43036</v>
      </c>
      <c r="B37">
        <v>0</v>
      </c>
      <c r="C37">
        <v>0</v>
      </c>
      <c r="D37">
        <v>217</v>
      </c>
      <c r="E37">
        <v>0</v>
      </c>
      <c r="F37">
        <f>VLOOKUP(A37,[1]SE_SUMMIT_2032_US40!$A:$Y,23,FALSE)</f>
        <v>0</v>
      </c>
      <c r="G37">
        <f>VLOOKUP(A37,[1]SE_SUMMIT_2032_US40!$A:$Y,24,FALSE)</f>
        <v>0</v>
      </c>
      <c r="H37">
        <f>VLOOKUP(A37,[1]SE_SUMMIT_2032_US40!$A:$Y,25,FALSE)</f>
        <v>217</v>
      </c>
      <c r="I37">
        <f>VLOOKUP(A37,[1]SE_SUMMIT_2032_US40!$A:$Z,26,FALSE)</f>
        <v>0</v>
      </c>
      <c r="J37">
        <f>VLOOKUP(A37,[2]SE_SUMMIT_2042_US40!$A:$Y,23,FALSE)</f>
        <v>0</v>
      </c>
      <c r="K37">
        <f>VLOOKUP(A37,[2]SE_SUMMIT_2042_US40!$A:$Y,24,FALSE)</f>
        <v>0</v>
      </c>
      <c r="L37">
        <f>VLOOKUP(A37,[2]SE_SUMMIT_2042_US40!$A:$Y,25,FALSE)</f>
        <v>217</v>
      </c>
      <c r="M37">
        <f>VLOOKUP(A37,[2]SE_SUMMIT_2042_US40!$A:$Z,26,FALSE)</f>
        <v>0</v>
      </c>
      <c r="N37">
        <f>VLOOKUP(A37,[3]SE_SUMMIT_2050_US40_Richardson_!$A:$Y,23,FALSE)</f>
        <v>0</v>
      </c>
      <c r="O37">
        <f>VLOOKUP(A37,[3]SE_SUMMIT_2050_US40_Richardson_!$A:$Y,24,FALSE)</f>
        <v>0</v>
      </c>
      <c r="P37">
        <f>VLOOKUP(A37,[3]SE_SUMMIT_2050_US40_Richardson_!$A:$Y,25,FALSE)</f>
        <v>217</v>
      </c>
      <c r="Q37">
        <f>VLOOKUP(A37,[3]SE_SUMMIT_2050_US40_Richardson_!$A:$Z,26,FALSE)</f>
        <v>0</v>
      </c>
      <c r="R37">
        <f t="shared" si="0"/>
        <v>0</v>
      </c>
      <c r="S37">
        <f t="shared" si="1"/>
        <v>0</v>
      </c>
      <c r="T37">
        <f t="shared" si="2"/>
        <v>0</v>
      </c>
      <c r="U37">
        <f t="shared" si="3"/>
        <v>0</v>
      </c>
    </row>
    <row r="38" spans="1:21" x14ac:dyDescent="0.25">
      <c r="A38">
        <v>43037</v>
      </c>
      <c r="B38">
        <v>0</v>
      </c>
      <c r="C38">
        <v>0</v>
      </c>
      <c r="D38">
        <v>0</v>
      </c>
      <c r="E38">
        <v>0</v>
      </c>
      <c r="F38">
        <f>VLOOKUP(A38,[1]SE_SUMMIT_2032_US40!$A:$Y,23,FALSE)</f>
        <v>0</v>
      </c>
      <c r="G38">
        <f>VLOOKUP(A38,[1]SE_SUMMIT_2032_US40!$A:$Y,24,FALSE)</f>
        <v>0</v>
      </c>
      <c r="H38">
        <f>VLOOKUP(A38,[1]SE_SUMMIT_2032_US40!$A:$Y,25,FALSE)</f>
        <v>0</v>
      </c>
      <c r="I38">
        <f>VLOOKUP(A38,[1]SE_SUMMIT_2032_US40!$A:$Z,26,FALSE)</f>
        <v>0</v>
      </c>
      <c r="J38">
        <f>VLOOKUP(A38,[2]SE_SUMMIT_2042_US40!$A:$Y,23,FALSE)</f>
        <v>0</v>
      </c>
      <c r="K38">
        <f>VLOOKUP(A38,[2]SE_SUMMIT_2042_US40!$A:$Y,24,FALSE)</f>
        <v>0</v>
      </c>
      <c r="L38">
        <f>VLOOKUP(A38,[2]SE_SUMMIT_2042_US40!$A:$Y,25,FALSE)</f>
        <v>0</v>
      </c>
      <c r="M38">
        <f>VLOOKUP(A38,[2]SE_SUMMIT_2042_US40!$A:$Z,26,FALSE)</f>
        <v>0</v>
      </c>
      <c r="N38">
        <f>VLOOKUP(A38,[3]SE_SUMMIT_2050_US40_Richardson_!$A:$Y,23,FALSE)</f>
        <v>0</v>
      </c>
      <c r="O38">
        <f>VLOOKUP(A38,[3]SE_SUMMIT_2050_US40_Richardson_!$A:$Y,24,FALSE)</f>
        <v>0</v>
      </c>
      <c r="P38">
        <f>VLOOKUP(A38,[3]SE_SUMMIT_2050_US40_Richardson_!$A:$Y,25,FALSE)</f>
        <v>0</v>
      </c>
      <c r="Q38">
        <f>VLOOKUP(A38,[3]SE_SUMMIT_2050_US40_Richardson_!$A:$Z,26,FALSE)</f>
        <v>0</v>
      </c>
      <c r="R38">
        <f t="shared" si="0"/>
        <v>0</v>
      </c>
      <c r="S38">
        <f t="shared" si="1"/>
        <v>0</v>
      </c>
      <c r="T38">
        <f t="shared" si="2"/>
        <v>0</v>
      </c>
      <c r="U38">
        <f t="shared" si="3"/>
        <v>0</v>
      </c>
    </row>
    <row r="39" spans="1:21" x14ac:dyDescent="0.25">
      <c r="A39">
        <v>43038</v>
      </c>
      <c r="B39">
        <v>4</v>
      </c>
      <c r="C39">
        <v>0</v>
      </c>
      <c r="D39">
        <v>0</v>
      </c>
      <c r="E39">
        <v>0</v>
      </c>
      <c r="F39">
        <f>VLOOKUP(A39,[1]SE_SUMMIT_2032_US40!$A:$Y,23,FALSE)</f>
        <v>4</v>
      </c>
      <c r="G39">
        <f>VLOOKUP(A39,[1]SE_SUMMIT_2032_US40!$A:$Y,24,FALSE)</f>
        <v>0</v>
      </c>
      <c r="H39">
        <f>VLOOKUP(A39,[1]SE_SUMMIT_2032_US40!$A:$Y,25,FALSE)</f>
        <v>0</v>
      </c>
      <c r="I39">
        <f>VLOOKUP(A39,[1]SE_SUMMIT_2032_US40!$A:$Z,26,FALSE)</f>
        <v>0</v>
      </c>
      <c r="J39">
        <f>VLOOKUP(A39,[2]SE_SUMMIT_2042_US40!$A:$Y,23,FALSE)</f>
        <v>4</v>
      </c>
      <c r="K39">
        <f>VLOOKUP(A39,[2]SE_SUMMIT_2042_US40!$A:$Y,24,FALSE)</f>
        <v>0</v>
      </c>
      <c r="L39">
        <f>VLOOKUP(A39,[2]SE_SUMMIT_2042_US40!$A:$Y,25,FALSE)</f>
        <v>0</v>
      </c>
      <c r="M39">
        <f>VLOOKUP(A39,[2]SE_SUMMIT_2042_US40!$A:$Z,26,FALSE)</f>
        <v>0</v>
      </c>
      <c r="N39">
        <f>VLOOKUP(A39,[3]SE_SUMMIT_2050_US40_Richardson_!$A:$Y,23,FALSE)</f>
        <v>4</v>
      </c>
      <c r="O39">
        <f>VLOOKUP(A39,[3]SE_SUMMIT_2050_US40_Richardson_!$A:$Y,24,FALSE)</f>
        <v>0</v>
      </c>
      <c r="P39">
        <f>VLOOKUP(A39,[3]SE_SUMMIT_2050_US40_Richardson_!$A:$Y,25,FALSE)</f>
        <v>0</v>
      </c>
      <c r="Q39">
        <f>VLOOKUP(A39,[3]SE_SUMMIT_2050_US40_Richardson_!$A:$Z,26,FALSE)</f>
        <v>0</v>
      </c>
      <c r="R39">
        <f t="shared" si="0"/>
        <v>0</v>
      </c>
      <c r="S39">
        <f t="shared" si="1"/>
        <v>0</v>
      </c>
      <c r="T39">
        <f t="shared" si="2"/>
        <v>0</v>
      </c>
      <c r="U39">
        <f t="shared" si="3"/>
        <v>0</v>
      </c>
    </row>
    <row r="40" spans="1:21" x14ac:dyDescent="0.25">
      <c r="A40">
        <v>43039</v>
      </c>
      <c r="B40">
        <v>0</v>
      </c>
      <c r="C40">
        <v>0</v>
      </c>
      <c r="D40">
        <v>0</v>
      </c>
      <c r="E40">
        <v>0</v>
      </c>
      <c r="F40">
        <f>VLOOKUP(A40,[1]SE_SUMMIT_2032_US40!$A:$Y,23,FALSE)</f>
        <v>0</v>
      </c>
      <c r="G40">
        <f>VLOOKUP(A40,[1]SE_SUMMIT_2032_US40!$A:$Y,24,FALSE)</f>
        <v>0</v>
      </c>
      <c r="H40">
        <f>VLOOKUP(A40,[1]SE_SUMMIT_2032_US40!$A:$Y,25,FALSE)</f>
        <v>0</v>
      </c>
      <c r="I40">
        <f>VLOOKUP(A40,[1]SE_SUMMIT_2032_US40!$A:$Z,26,FALSE)</f>
        <v>0</v>
      </c>
      <c r="J40">
        <f>VLOOKUP(A40,[2]SE_SUMMIT_2042_US40!$A:$Y,23,FALSE)</f>
        <v>0</v>
      </c>
      <c r="K40">
        <f>VLOOKUP(A40,[2]SE_SUMMIT_2042_US40!$A:$Y,24,FALSE)</f>
        <v>0</v>
      </c>
      <c r="L40">
        <f>VLOOKUP(A40,[2]SE_SUMMIT_2042_US40!$A:$Y,25,FALSE)</f>
        <v>0</v>
      </c>
      <c r="M40">
        <f>VLOOKUP(A40,[2]SE_SUMMIT_2042_US40!$A:$Z,26,FALSE)</f>
        <v>0</v>
      </c>
      <c r="N40">
        <f>VLOOKUP(A40,[3]SE_SUMMIT_2050_US40_Richardson_!$A:$Y,23,FALSE)</f>
        <v>0</v>
      </c>
      <c r="O40">
        <f>VLOOKUP(A40,[3]SE_SUMMIT_2050_US40_Richardson_!$A:$Y,24,FALSE)</f>
        <v>0</v>
      </c>
      <c r="P40">
        <f>VLOOKUP(A40,[3]SE_SUMMIT_2050_US40_Richardson_!$A:$Y,25,FALSE)</f>
        <v>0</v>
      </c>
      <c r="Q40">
        <f>VLOOKUP(A40,[3]SE_SUMMIT_2050_US40_Richardson_!$A:$Z,26,FALSE)</f>
        <v>0</v>
      </c>
      <c r="R40">
        <f t="shared" si="0"/>
        <v>0</v>
      </c>
      <c r="S40">
        <f t="shared" si="1"/>
        <v>0</v>
      </c>
      <c r="T40">
        <f t="shared" si="2"/>
        <v>0</v>
      </c>
      <c r="U40">
        <f t="shared" si="3"/>
        <v>0</v>
      </c>
    </row>
    <row r="41" spans="1:21" x14ac:dyDescent="0.25">
      <c r="A41">
        <v>43040</v>
      </c>
      <c r="B41">
        <v>109</v>
      </c>
      <c r="C41">
        <v>0</v>
      </c>
      <c r="D41">
        <v>123</v>
      </c>
      <c r="E41">
        <v>0</v>
      </c>
      <c r="F41">
        <f>VLOOKUP(A41,[1]SE_SUMMIT_2032_US40!$A:$Y,23,FALSE)</f>
        <v>109</v>
      </c>
      <c r="G41">
        <f>VLOOKUP(A41,[1]SE_SUMMIT_2032_US40!$A:$Y,24,FALSE)</f>
        <v>0</v>
      </c>
      <c r="H41">
        <f>VLOOKUP(A41,[1]SE_SUMMIT_2032_US40!$A:$Y,25,FALSE)</f>
        <v>123</v>
      </c>
      <c r="I41">
        <f>VLOOKUP(A41,[1]SE_SUMMIT_2032_US40!$A:$Z,26,FALSE)</f>
        <v>0</v>
      </c>
      <c r="J41">
        <f>VLOOKUP(A41,[2]SE_SUMMIT_2042_US40!$A:$Y,23,FALSE)</f>
        <v>109</v>
      </c>
      <c r="K41">
        <f>VLOOKUP(A41,[2]SE_SUMMIT_2042_US40!$A:$Y,24,FALSE)</f>
        <v>0</v>
      </c>
      <c r="L41">
        <f>VLOOKUP(A41,[2]SE_SUMMIT_2042_US40!$A:$Y,25,FALSE)</f>
        <v>123</v>
      </c>
      <c r="M41">
        <f>VLOOKUP(A41,[2]SE_SUMMIT_2042_US40!$A:$Z,26,FALSE)</f>
        <v>0</v>
      </c>
      <c r="N41">
        <f>VLOOKUP(A41,[3]SE_SUMMIT_2050_US40_Richardson_!$A:$Y,23,FALSE)</f>
        <v>109</v>
      </c>
      <c r="O41">
        <f>VLOOKUP(A41,[3]SE_SUMMIT_2050_US40_Richardson_!$A:$Y,24,FALSE)</f>
        <v>0</v>
      </c>
      <c r="P41">
        <f>VLOOKUP(A41,[3]SE_SUMMIT_2050_US40_Richardson_!$A:$Y,25,FALSE)</f>
        <v>123</v>
      </c>
      <c r="Q41">
        <f>VLOOKUP(A41,[3]SE_SUMMIT_2050_US40_Richardson_!$A:$Z,26,FALSE)</f>
        <v>0</v>
      </c>
      <c r="R41">
        <f t="shared" si="0"/>
        <v>0</v>
      </c>
      <c r="S41">
        <f t="shared" si="1"/>
        <v>0</v>
      </c>
      <c r="T41">
        <f t="shared" si="2"/>
        <v>0</v>
      </c>
      <c r="U41">
        <f t="shared" si="3"/>
        <v>0</v>
      </c>
    </row>
    <row r="42" spans="1:21" x14ac:dyDescent="0.25">
      <c r="A42">
        <v>43041</v>
      </c>
      <c r="B42">
        <v>100</v>
      </c>
      <c r="C42">
        <v>0</v>
      </c>
      <c r="D42">
        <v>0</v>
      </c>
      <c r="E42">
        <v>0</v>
      </c>
      <c r="F42">
        <f>VLOOKUP(A42,[1]SE_SUMMIT_2032_US40!$A:$Y,23,FALSE)</f>
        <v>100</v>
      </c>
      <c r="G42">
        <f>VLOOKUP(A42,[1]SE_SUMMIT_2032_US40!$A:$Y,24,FALSE)</f>
        <v>0</v>
      </c>
      <c r="H42">
        <f>VLOOKUP(A42,[1]SE_SUMMIT_2032_US40!$A:$Y,25,FALSE)</f>
        <v>0</v>
      </c>
      <c r="I42">
        <f>VLOOKUP(A42,[1]SE_SUMMIT_2032_US40!$A:$Z,26,FALSE)</f>
        <v>0</v>
      </c>
      <c r="J42">
        <f>VLOOKUP(A42,[2]SE_SUMMIT_2042_US40!$A:$Y,23,FALSE)</f>
        <v>100</v>
      </c>
      <c r="K42">
        <f>VLOOKUP(A42,[2]SE_SUMMIT_2042_US40!$A:$Y,24,FALSE)</f>
        <v>0</v>
      </c>
      <c r="L42">
        <f>VLOOKUP(A42,[2]SE_SUMMIT_2042_US40!$A:$Y,25,FALSE)</f>
        <v>0</v>
      </c>
      <c r="M42">
        <f>VLOOKUP(A42,[2]SE_SUMMIT_2042_US40!$A:$Z,26,FALSE)</f>
        <v>0</v>
      </c>
      <c r="N42">
        <f>VLOOKUP(A42,[3]SE_SUMMIT_2050_US40_Richardson_!$A:$Y,23,FALSE)</f>
        <v>100</v>
      </c>
      <c r="O42">
        <f>VLOOKUP(A42,[3]SE_SUMMIT_2050_US40_Richardson_!$A:$Y,24,FALSE)</f>
        <v>0</v>
      </c>
      <c r="P42">
        <f>VLOOKUP(A42,[3]SE_SUMMIT_2050_US40_Richardson_!$A:$Y,25,FALSE)</f>
        <v>0</v>
      </c>
      <c r="Q42">
        <f>VLOOKUP(A42,[3]SE_SUMMIT_2050_US40_Richardson_!$A:$Z,26,FALSE)</f>
        <v>0</v>
      </c>
      <c r="R42">
        <f t="shared" si="0"/>
        <v>0</v>
      </c>
      <c r="S42">
        <f t="shared" si="1"/>
        <v>0</v>
      </c>
      <c r="T42">
        <f t="shared" si="2"/>
        <v>0</v>
      </c>
      <c r="U42">
        <f t="shared" si="3"/>
        <v>0</v>
      </c>
    </row>
    <row r="43" spans="1:21" x14ac:dyDescent="0.25">
      <c r="A43">
        <v>43042</v>
      </c>
      <c r="B43">
        <v>17</v>
      </c>
      <c r="C43">
        <v>0</v>
      </c>
      <c r="D43">
        <v>0</v>
      </c>
      <c r="E43">
        <v>0</v>
      </c>
      <c r="F43">
        <f>VLOOKUP(A43,[1]SE_SUMMIT_2032_US40!$A:$Y,23,FALSE)</f>
        <v>17</v>
      </c>
      <c r="G43">
        <f>VLOOKUP(A43,[1]SE_SUMMIT_2032_US40!$A:$Y,24,FALSE)</f>
        <v>0</v>
      </c>
      <c r="H43">
        <f>VLOOKUP(A43,[1]SE_SUMMIT_2032_US40!$A:$Y,25,FALSE)</f>
        <v>0</v>
      </c>
      <c r="I43">
        <f>VLOOKUP(A43,[1]SE_SUMMIT_2032_US40!$A:$Z,26,FALSE)</f>
        <v>0</v>
      </c>
      <c r="J43">
        <f>VLOOKUP(A43,[2]SE_SUMMIT_2042_US40!$A:$Y,23,FALSE)</f>
        <v>17</v>
      </c>
      <c r="K43">
        <f>VLOOKUP(A43,[2]SE_SUMMIT_2042_US40!$A:$Y,24,FALSE)</f>
        <v>0</v>
      </c>
      <c r="L43">
        <f>VLOOKUP(A43,[2]SE_SUMMIT_2042_US40!$A:$Y,25,FALSE)</f>
        <v>0</v>
      </c>
      <c r="M43">
        <f>VLOOKUP(A43,[2]SE_SUMMIT_2042_US40!$A:$Z,26,FALSE)</f>
        <v>0</v>
      </c>
      <c r="N43">
        <f>VLOOKUP(A43,[3]SE_SUMMIT_2050_US40_Richardson_!$A:$Y,23,FALSE)</f>
        <v>17</v>
      </c>
      <c r="O43">
        <f>VLOOKUP(A43,[3]SE_SUMMIT_2050_US40_Richardson_!$A:$Y,24,FALSE)</f>
        <v>0</v>
      </c>
      <c r="P43">
        <f>VLOOKUP(A43,[3]SE_SUMMIT_2050_US40_Richardson_!$A:$Y,25,FALSE)</f>
        <v>0</v>
      </c>
      <c r="Q43">
        <f>VLOOKUP(A43,[3]SE_SUMMIT_2050_US40_Richardson_!$A:$Z,26,FALSE)</f>
        <v>0</v>
      </c>
      <c r="R43">
        <f t="shared" si="0"/>
        <v>0</v>
      </c>
      <c r="S43">
        <f t="shared" si="1"/>
        <v>0</v>
      </c>
      <c r="T43">
        <f t="shared" si="2"/>
        <v>0</v>
      </c>
      <c r="U43">
        <f t="shared" si="3"/>
        <v>0</v>
      </c>
    </row>
    <row r="44" spans="1:21" x14ac:dyDescent="0.25">
      <c r="A44">
        <v>43043</v>
      </c>
      <c r="B44">
        <v>6</v>
      </c>
      <c r="C44">
        <v>0</v>
      </c>
      <c r="D44">
        <v>0</v>
      </c>
      <c r="E44">
        <v>0</v>
      </c>
      <c r="F44">
        <f>VLOOKUP(A44,[1]SE_SUMMIT_2032_US40!$A:$Y,23,FALSE)</f>
        <v>6</v>
      </c>
      <c r="G44">
        <f>VLOOKUP(A44,[1]SE_SUMMIT_2032_US40!$A:$Y,24,FALSE)</f>
        <v>0</v>
      </c>
      <c r="H44">
        <f>VLOOKUP(A44,[1]SE_SUMMIT_2032_US40!$A:$Y,25,FALSE)</f>
        <v>0</v>
      </c>
      <c r="I44">
        <f>VLOOKUP(A44,[1]SE_SUMMIT_2032_US40!$A:$Z,26,FALSE)</f>
        <v>0</v>
      </c>
      <c r="J44">
        <f>VLOOKUP(A44,[2]SE_SUMMIT_2042_US40!$A:$Y,23,FALSE)</f>
        <v>6</v>
      </c>
      <c r="K44">
        <f>VLOOKUP(A44,[2]SE_SUMMIT_2042_US40!$A:$Y,24,FALSE)</f>
        <v>0</v>
      </c>
      <c r="L44">
        <f>VLOOKUP(A44,[2]SE_SUMMIT_2042_US40!$A:$Y,25,FALSE)</f>
        <v>0</v>
      </c>
      <c r="M44">
        <f>VLOOKUP(A44,[2]SE_SUMMIT_2042_US40!$A:$Z,26,FALSE)</f>
        <v>0</v>
      </c>
      <c r="N44">
        <f>VLOOKUP(A44,[3]SE_SUMMIT_2050_US40_Richardson_!$A:$Y,23,FALSE)</f>
        <v>6</v>
      </c>
      <c r="O44">
        <f>VLOOKUP(A44,[3]SE_SUMMIT_2050_US40_Richardson_!$A:$Y,24,FALSE)</f>
        <v>0</v>
      </c>
      <c r="P44">
        <f>VLOOKUP(A44,[3]SE_SUMMIT_2050_US40_Richardson_!$A:$Y,25,FALSE)</f>
        <v>0</v>
      </c>
      <c r="Q44">
        <f>VLOOKUP(A44,[3]SE_SUMMIT_2050_US40_Richardson_!$A:$Z,26,FALSE)</f>
        <v>0</v>
      </c>
      <c r="R44">
        <f t="shared" si="0"/>
        <v>0</v>
      </c>
      <c r="S44">
        <f t="shared" si="1"/>
        <v>0</v>
      </c>
      <c r="T44">
        <f t="shared" si="2"/>
        <v>0</v>
      </c>
      <c r="U44">
        <f t="shared" si="3"/>
        <v>0</v>
      </c>
    </row>
    <row r="45" spans="1:21" x14ac:dyDescent="0.25">
      <c r="A45">
        <v>43044</v>
      </c>
      <c r="B45">
        <v>15</v>
      </c>
      <c r="C45">
        <v>0</v>
      </c>
      <c r="D45">
        <v>0</v>
      </c>
      <c r="E45">
        <v>0</v>
      </c>
      <c r="F45">
        <f>VLOOKUP(A45,[1]SE_SUMMIT_2032_US40!$A:$Y,23,FALSE)</f>
        <v>15</v>
      </c>
      <c r="G45">
        <f>VLOOKUP(A45,[1]SE_SUMMIT_2032_US40!$A:$Y,24,FALSE)</f>
        <v>0</v>
      </c>
      <c r="H45">
        <f>VLOOKUP(A45,[1]SE_SUMMIT_2032_US40!$A:$Y,25,FALSE)</f>
        <v>0</v>
      </c>
      <c r="I45">
        <f>VLOOKUP(A45,[1]SE_SUMMIT_2032_US40!$A:$Z,26,FALSE)</f>
        <v>0</v>
      </c>
      <c r="J45">
        <f>VLOOKUP(A45,[2]SE_SUMMIT_2042_US40!$A:$Y,23,FALSE)</f>
        <v>15</v>
      </c>
      <c r="K45">
        <f>VLOOKUP(A45,[2]SE_SUMMIT_2042_US40!$A:$Y,24,FALSE)</f>
        <v>0</v>
      </c>
      <c r="L45">
        <f>VLOOKUP(A45,[2]SE_SUMMIT_2042_US40!$A:$Y,25,FALSE)</f>
        <v>0</v>
      </c>
      <c r="M45">
        <f>VLOOKUP(A45,[2]SE_SUMMIT_2042_US40!$A:$Z,26,FALSE)</f>
        <v>0</v>
      </c>
      <c r="N45">
        <f>VLOOKUP(A45,[3]SE_SUMMIT_2050_US40_Richardson_!$A:$Y,23,FALSE)</f>
        <v>15</v>
      </c>
      <c r="O45">
        <f>VLOOKUP(A45,[3]SE_SUMMIT_2050_US40_Richardson_!$A:$Y,24,FALSE)</f>
        <v>0</v>
      </c>
      <c r="P45">
        <f>VLOOKUP(A45,[3]SE_SUMMIT_2050_US40_Richardson_!$A:$Y,25,FALSE)</f>
        <v>0</v>
      </c>
      <c r="Q45">
        <f>VLOOKUP(A45,[3]SE_SUMMIT_2050_US40_Richardson_!$A:$Z,26,FALSE)</f>
        <v>0</v>
      </c>
      <c r="R45">
        <f t="shared" si="0"/>
        <v>0</v>
      </c>
      <c r="S45">
        <f t="shared" si="1"/>
        <v>0</v>
      </c>
      <c r="T45">
        <f t="shared" si="2"/>
        <v>0</v>
      </c>
      <c r="U45">
        <f t="shared" si="3"/>
        <v>0</v>
      </c>
    </row>
    <row r="46" spans="1:21" x14ac:dyDescent="0.25">
      <c r="A46">
        <v>43045</v>
      </c>
      <c r="B46">
        <v>10</v>
      </c>
      <c r="C46">
        <v>0</v>
      </c>
      <c r="D46">
        <v>0</v>
      </c>
      <c r="E46">
        <v>0</v>
      </c>
      <c r="F46">
        <f>VLOOKUP(A46,[1]SE_SUMMIT_2032_US40!$A:$Y,23,FALSE)</f>
        <v>10</v>
      </c>
      <c r="G46">
        <f>VLOOKUP(A46,[1]SE_SUMMIT_2032_US40!$A:$Y,24,FALSE)</f>
        <v>0</v>
      </c>
      <c r="H46">
        <f>VLOOKUP(A46,[1]SE_SUMMIT_2032_US40!$A:$Y,25,FALSE)</f>
        <v>0</v>
      </c>
      <c r="I46">
        <f>VLOOKUP(A46,[1]SE_SUMMIT_2032_US40!$A:$Z,26,FALSE)</f>
        <v>0</v>
      </c>
      <c r="J46">
        <f>VLOOKUP(A46,[2]SE_SUMMIT_2042_US40!$A:$Y,23,FALSE)</f>
        <v>10</v>
      </c>
      <c r="K46">
        <f>VLOOKUP(A46,[2]SE_SUMMIT_2042_US40!$A:$Y,24,FALSE)</f>
        <v>0</v>
      </c>
      <c r="L46">
        <f>VLOOKUP(A46,[2]SE_SUMMIT_2042_US40!$A:$Y,25,FALSE)</f>
        <v>0</v>
      </c>
      <c r="M46">
        <f>VLOOKUP(A46,[2]SE_SUMMIT_2042_US40!$A:$Z,26,FALSE)</f>
        <v>0</v>
      </c>
      <c r="N46">
        <f>VLOOKUP(A46,[3]SE_SUMMIT_2050_US40_Richardson_!$A:$Y,23,FALSE)</f>
        <v>10</v>
      </c>
      <c r="O46">
        <f>VLOOKUP(A46,[3]SE_SUMMIT_2050_US40_Richardson_!$A:$Y,24,FALSE)</f>
        <v>0</v>
      </c>
      <c r="P46">
        <f>VLOOKUP(A46,[3]SE_SUMMIT_2050_US40_Richardson_!$A:$Y,25,FALSE)</f>
        <v>0</v>
      </c>
      <c r="Q46">
        <f>VLOOKUP(A46,[3]SE_SUMMIT_2050_US40_Richardson_!$A:$Z,26,FALSE)</f>
        <v>0</v>
      </c>
      <c r="R46">
        <f t="shared" si="0"/>
        <v>0</v>
      </c>
      <c r="S46">
        <f t="shared" si="1"/>
        <v>0</v>
      </c>
      <c r="T46">
        <f t="shared" si="2"/>
        <v>0</v>
      </c>
      <c r="U46">
        <f t="shared" si="3"/>
        <v>0</v>
      </c>
    </row>
    <row r="47" spans="1:21" x14ac:dyDescent="0.25">
      <c r="A47">
        <v>43046</v>
      </c>
      <c r="B47">
        <v>5</v>
      </c>
      <c r="C47">
        <v>0</v>
      </c>
      <c r="D47">
        <v>0</v>
      </c>
      <c r="E47">
        <v>0</v>
      </c>
      <c r="F47">
        <f>VLOOKUP(A47,[1]SE_SUMMIT_2032_US40!$A:$Y,23,FALSE)</f>
        <v>5</v>
      </c>
      <c r="G47">
        <f>VLOOKUP(A47,[1]SE_SUMMIT_2032_US40!$A:$Y,24,FALSE)</f>
        <v>0</v>
      </c>
      <c r="H47">
        <f>VLOOKUP(A47,[1]SE_SUMMIT_2032_US40!$A:$Y,25,FALSE)</f>
        <v>0</v>
      </c>
      <c r="I47">
        <f>VLOOKUP(A47,[1]SE_SUMMIT_2032_US40!$A:$Z,26,FALSE)</f>
        <v>0</v>
      </c>
      <c r="J47">
        <f>VLOOKUP(A47,[2]SE_SUMMIT_2042_US40!$A:$Y,23,FALSE)</f>
        <v>5</v>
      </c>
      <c r="K47">
        <f>VLOOKUP(A47,[2]SE_SUMMIT_2042_US40!$A:$Y,24,FALSE)</f>
        <v>0</v>
      </c>
      <c r="L47">
        <f>VLOOKUP(A47,[2]SE_SUMMIT_2042_US40!$A:$Y,25,FALSE)</f>
        <v>0</v>
      </c>
      <c r="M47">
        <f>VLOOKUP(A47,[2]SE_SUMMIT_2042_US40!$A:$Z,26,FALSE)</f>
        <v>0</v>
      </c>
      <c r="N47">
        <f>VLOOKUP(A47,[3]SE_SUMMIT_2050_US40_Richardson_!$A:$Y,23,FALSE)</f>
        <v>5</v>
      </c>
      <c r="O47">
        <f>VLOOKUP(A47,[3]SE_SUMMIT_2050_US40_Richardson_!$A:$Y,24,FALSE)</f>
        <v>0</v>
      </c>
      <c r="P47">
        <f>VLOOKUP(A47,[3]SE_SUMMIT_2050_US40_Richardson_!$A:$Y,25,FALSE)</f>
        <v>0</v>
      </c>
      <c r="Q47">
        <f>VLOOKUP(A47,[3]SE_SUMMIT_2050_US40_Richardson_!$A:$Z,26,FALSE)</f>
        <v>0</v>
      </c>
      <c r="R47">
        <f t="shared" si="0"/>
        <v>0</v>
      </c>
      <c r="S47">
        <f t="shared" si="1"/>
        <v>0</v>
      </c>
      <c r="T47">
        <f t="shared" si="2"/>
        <v>0</v>
      </c>
      <c r="U47">
        <f t="shared" si="3"/>
        <v>0</v>
      </c>
    </row>
    <row r="48" spans="1:21" x14ac:dyDescent="0.25">
      <c r="A48">
        <v>43047</v>
      </c>
      <c r="B48">
        <v>7</v>
      </c>
      <c r="C48">
        <v>0</v>
      </c>
      <c r="D48">
        <v>0</v>
      </c>
      <c r="E48">
        <v>0</v>
      </c>
      <c r="F48">
        <f>VLOOKUP(A48,[1]SE_SUMMIT_2032_US40!$A:$Y,23,FALSE)</f>
        <v>7</v>
      </c>
      <c r="G48">
        <f>VLOOKUP(A48,[1]SE_SUMMIT_2032_US40!$A:$Y,24,FALSE)</f>
        <v>0</v>
      </c>
      <c r="H48">
        <f>VLOOKUP(A48,[1]SE_SUMMIT_2032_US40!$A:$Y,25,FALSE)</f>
        <v>0</v>
      </c>
      <c r="I48">
        <f>VLOOKUP(A48,[1]SE_SUMMIT_2032_US40!$A:$Z,26,FALSE)</f>
        <v>0</v>
      </c>
      <c r="J48">
        <f>VLOOKUP(A48,[2]SE_SUMMIT_2042_US40!$A:$Y,23,FALSE)</f>
        <v>7</v>
      </c>
      <c r="K48">
        <f>VLOOKUP(A48,[2]SE_SUMMIT_2042_US40!$A:$Y,24,FALSE)</f>
        <v>0</v>
      </c>
      <c r="L48">
        <f>VLOOKUP(A48,[2]SE_SUMMIT_2042_US40!$A:$Y,25,FALSE)</f>
        <v>0</v>
      </c>
      <c r="M48">
        <f>VLOOKUP(A48,[2]SE_SUMMIT_2042_US40!$A:$Z,26,FALSE)</f>
        <v>0</v>
      </c>
      <c r="N48">
        <f>VLOOKUP(A48,[3]SE_SUMMIT_2050_US40_Richardson_!$A:$Y,23,FALSE)</f>
        <v>7</v>
      </c>
      <c r="O48">
        <f>VLOOKUP(A48,[3]SE_SUMMIT_2050_US40_Richardson_!$A:$Y,24,FALSE)</f>
        <v>0</v>
      </c>
      <c r="P48">
        <f>VLOOKUP(A48,[3]SE_SUMMIT_2050_US40_Richardson_!$A:$Y,25,FALSE)</f>
        <v>0</v>
      </c>
      <c r="Q48">
        <f>VLOOKUP(A48,[3]SE_SUMMIT_2050_US40_Richardson_!$A:$Z,26,FALSE)</f>
        <v>0</v>
      </c>
      <c r="R48">
        <f t="shared" si="0"/>
        <v>0</v>
      </c>
      <c r="S48">
        <f t="shared" si="1"/>
        <v>0</v>
      </c>
      <c r="T48">
        <f t="shared" si="2"/>
        <v>0</v>
      </c>
      <c r="U48">
        <f t="shared" si="3"/>
        <v>0</v>
      </c>
    </row>
    <row r="49" spans="1:23" x14ac:dyDescent="0.25">
      <c r="A49">
        <v>43048</v>
      </c>
      <c r="B49">
        <v>0</v>
      </c>
      <c r="C49">
        <v>0</v>
      </c>
      <c r="D49">
        <v>0</v>
      </c>
      <c r="E49">
        <v>0</v>
      </c>
      <c r="F49">
        <f>VLOOKUP(A49,[1]SE_SUMMIT_2032_US40!$A:$Y,23,FALSE)</f>
        <v>0</v>
      </c>
      <c r="G49">
        <f>VLOOKUP(A49,[1]SE_SUMMIT_2032_US40!$A:$Y,24,FALSE)</f>
        <v>0</v>
      </c>
      <c r="H49">
        <f>VLOOKUP(A49,[1]SE_SUMMIT_2032_US40!$A:$Y,25,FALSE)</f>
        <v>0</v>
      </c>
      <c r="I49">
        <f>VLOOKUP(A49,[1]SE_SUMMIT_2032_US40!$A:$Z,26,FALSE)</f>
        <v>0</v>
      </c>
      <c r="J49">
        <f>VLOOKUP(A49,[2]SE_SUMMIT_2042_US40!$A:$Y,23,FALSE)</f>
        <v>0</v>
      </c>
      <c r="K49">
        <f>VLOOKUP(A49,[2]SE_SUMMIT_2042_US40!$A:$Y,24,FALSE)</f>
        <v>0</v>
      </c>
      <c r="L49">
        <f>VLOOKUP(A49,[2]SE_SUMMIT_2042_US40!$A:$Y,25,FALSE)</f>
        <v>0</v>
      </c>
      <c r="M49">
        <f>VLOOKUP(A49,[2]SE_SUMMIT_2042_US40!$A:$Z,26,FALSE)</f>
        <v>0</v>
      </c>
      <c r="N49">
        <f>VLOOKUP(A49,[3]SE_SUMMIT_2050_US40_Richardson_!$A:$Y,23,FALSE)</f>
        <v>0</v>
      </c>
      <c r="O49">
        <f>VLOOKUP(A49,[3]SE_SUMMIT_2050_US40_Richardson_!$A:$Y,24,FALSE)</f>
        <v>0</v>
      </c>
      <c r="P49">
        <f>VLOOKUP(A49,[3]SE_SUMMIT_2050_US40_Richardson_!$A:$Y,25,FALSE)</f>
        <v>0</v>
      </c>
      <c r="Q49">
        <f>VLOOKUP(A49,[3]SE_SUMMIT_2050_US40_Richardson_!$A:$Z,26,FALSE)</f>
        <v>0</v>
      </c>
      <c r="R49">
        <f t="shared" si="0"/>
        <v>0</v>
      </c>
      <c r="S49">
        <f t="shared" si="1"/>
        <v>0</v>
      </c>
      <c r="T49">
        <f t="shared" si="2"/>
        <v>0</v>
      </c>
      <c r="U49">
        <f t="shared" si="3"/>
        <v>0</v>
      </c>
    </row>
    <row r="50" spans="1:23" x14ac:dyDescent="0.25">
      <c r="A50">
        <v>43049</v>
      </c>
      <c r="B50">
        <v>0</v>
      </c>
      <c r="C50">
        <v>0</v>
      </c>
      <c r="D50">
        <v>153</v>
      </c>
      <c r="E50">
        <v>564</v>
      </c>
      <c r="F50">
        <f>VLOOKUP(A50,[1]SE_SUMMIT_2032_US40!$A:$Y,23,FALSE)</f>
        <v>0</v>
      </c>
      <c r="G50">
        <f>VLOOKUP(A50,[1]SE_SUMMIT_2032_US40!$A:$Y,24,FALSE)</f>
        <v>0</v>
      </c>
      <c r="H50">
        <f>VLOOKUP(A50,[1]SE_SUMMIT_2032_US40!$A:$Y,25,FALSE)</f>
        <v>156</v>
      </c>
      <c r="I50">
        <f>VLOOKUP(A50,[1]SE_SUMMIT_2032_US40!$A:$Z,26,FALSE)</f>
        <v>588</v>
      </c>
      <c r="J50">
        <f>VLOOKUP(A50,[2]SE_SUMMIT_2042_US40!$A:$Y,23,FALSE)</f>
        <v>0</v>
      </c>
      <c r="K50">
        <f>VLOOKUP(A50,[2]SE_SUMMIT_2042_US40!$A:$Y,24,FALSE)</f>
        <v>0</v>
      </c>
      <c r="L50">
        <f>VLOOKUP(A50,[2]SE_SUMMIT_2042_US40!$A:$Y,25,FALSE)</f>
        <v>156</v>
      </c>
      <c r="M50">
        <f>VLOOKUP(A50,[2]SE_SUMMIT_2042_US40!$A:$Z,26,FALSE)</f>
        <v>588</v>
      </c>
      <c r="N50">
        <f>VLOOKUP(A50,[3]SE_SUMMIT_2050_US40_Richardson_!$A:$Y,23,FALSE)</f>
        <v>0</v>
      </c>
      <c r="O50">
        <f>VLOOKUP(A50,[3]SE_SUMMIT_2050_US40_Richardson_!$A:$Y,24,FALSE)</f>
        <v>0</v>
      </c>
      <c r="P50">
        <f>VLOOKUP(A50,[3]SE_SUMMIT_2050_US40_Richardson_!$A:$Y,25,FALSE)</f>
        <v>156</v>
      </c>
      <c r="Q50">
        <f>VLOOKUP(A50,[3]SE_SUMMIT_2050_US40_Richardson_!$A:$Z,26,FALSE)</f>
        <v>588</v>
      </c>
      <c r="R50">
        <f t="shared" si="0"/>
        <v>0</v>
      </c>
      <c r="S50">
        <f t="shared" si="1"/>
        <v>0</v>
      </c>
      <c r="T50">
        <f t="shared" si="2"/>
        <v>3</v>
      </c>
      <c r="U50">
        <f t="shared" si="3"/>
        <v>24</v>
      </c>
      <c r="W50">
        <f>Q50-221</f>
        <v>367</v>
      </c>
    </row>
    <row r="51" spans="1:23" x14ac:dyDescent="0.25">
      <c r="A51">
        <v>43050</v>
      </c>
      <c r="B51">
        <v>6</v>
      </c>
      <c r="C51">
        <v>0</v>
      </c>
      <c r="D51">
        <v>0</v>
      </c>
      <c r="E51">
        <v>0</v>
      </c>
      <c r="F51">
        <f>VLOOKUP(A51,[1]SE_SUMMIT_2032_US40!$A:$Y,23,FALSE)</f>
        <v>6</v>
      </c>
      <c r="G51">
        <f>VLOOKUP(A51,[1]SE_SUMMIT_2032_US40!$A:$Y,24,FALSE)</f>
        <v>0</v>
      </c>
      <c r="H51">
        <f>VLOOKUP(A51,[1]SE_SUMMIT_2032_US40!$A:$Y,25,FALSE)</f>
        <v>0</v>
      </c>
      <c r="I51">
        <f>VLOOKUP(A51,[1]SE_SUMMIT_2032_US40!$A:$Z,26,FALSE)</f>
        <v>0</v>
      </c>
      <c r="J51">
        <f>VLOOKUP(A51,[2]SE_SUMMIT_2042_US40!$A:$Y,23,FALSE)</f>
        <v>6</v>
      </c>
      <c r="K51">
        <f>VLOOKUP(A51,[2]SE_SUMMIT_2042_US40!$A:$Y,24,FALSE)</f>
        <v>0</v>
      </c>
      <c r="L51">
        <f>VLOOKUP(A51,[2]SE_SUMMIT_2042_US40!$A:$Y,25,FALSE)</f>
        <v>0</v>
      </c>
      <c r="M51">
        <f>VLOOKUP(A51,[2]SE_SUMMIT_2042_US40!$A:$Z,26,FALSE)</f>
        <v>0</v>
      </c>
      <c r="N51">
        <f>VLOOKUP(A51,[3]SE_SUMMIT_2050_US40_Richardson_!$A:$Y,23,FALSE)</f>
        <v>6</v>
      </c>
      <c r="O51">
        <f>VLOOKUP(A51,[3]SE_SUMMIT_2050_US40_Richardson_!$A:$Y,24,FALSE)</f>
        <v>0</v>
      </c>
      <c r="P51">
        <f>VLOOKUP(A51,[3]SE_SUMMIT_2050_US40_Richardson_!$A:$Y,25,FALSE)</f>
        <v>0</v>
      </c>
      <c r="Q51">
        <f>VLOOKUP(A51,[3]SE_SUMMIT_2050_US40_Richardson_!$A:$Z,26,FALSE)</f>
        <v>0</v>
      </c>
      <c r="R51">
        <f t="shared" si="0"/>
        <v>0</v>
      </c>
      <c r="S51">
        <f t="shared" si="1"/>
        <v>0</v>
      </c>
      <c r="T51">
        <f t="shared" si="2"/>
        <v>0</v>
      </c>
      <c r="U51">
        <f t="shared" si="3"/>
        <v>0</v>
      </c>
    </row>
    <row r="52" spans="1:23" x14ac:dyDescent="0.25">
      <c r="A52">
        <v>43051</v>
      </c>
      <c r="B52">
        <v>4</v>
      </c>
      <c r="C52">
        <v>0</v>
      </c>
      <c r="D52">
        <v>0</v>
      </c>
      <c r="E52">
        <v>0</v>
      </c>
      <c r="F52">
        <f>VLOOKUP(A52,[1]SE_SUMMIT_2032_US40!$A:$Y,23,FALSE)</f>
        <v>4</v>
      </c>
      <c r="G52">
        <f>VLOOKUP(A52,[1]SE_SUMMIT_2032_US40!$A:$Y,24,FALSE)</f>
        <v>0</v>
      </c>
      <c r="H52">
        <f>VLOOKUP(A52,[1]SE_SUMMIT_2032_US40!$A:$Y,25,FALSE)</f>
        <v>0</v>
      </c>
      <c r="I52">
        <f>VLOOKUP(A52,[1]SE_SUMMIT_2032_US40!$A:$Z,26,FALSE)</f>
        <v>0</v>
      </c>
      <c r="J52">
        <f>VLOOKUP(A52,[2]SE_SUMMIT_2042_US40!$A:$Y,23,FALSE)</f>
        <v>4</v>
      </c>
      <c r="K52">
        <f>VLOOKUP(A52,[2]SE_SUMMIT_2042_US40!$A:$Y,24,FALSE)</f>
        <v>0</v>
      </c>
      <c r="L52">
        <f>VLOOKUP(A52,[2]SE_SUMMIT_2042_US40!$A:$Y,25,FALSE)</f>
        <v>0</v>
      </c>
      <c r="M52">
        <f>VLOOKUP(A52,[2]SE_SUMMIT_2042_US40!$A:$Z,26,FALSE)</f>
        <v>0</v>
      </c>
      <c r="N52">
        <f>VLOOKUP(A52,[3]SE_SUMMIT_2050_US40_Richardson_!$A:$Y,23,FALSE)</f>
        <v>4</v>
      </c>
      <c r="O52">
        <f>VLOOKUP(A52,[3]SE_SUMMIT_2050_US40_Richardson_!$A:$Y,24,FALSE)</f>
        <v>0</v>
      </c>
      <c r="P52">
        <f>VLOOKUP(A52,[3]SE_SUMMIT_2050_US40_Richardson_!$A:$Y,25,FALSE)</f>
        <v>0</v>
      </c>
      <c r="Q52">
        <f>VLOOKUP(A52,[3]SE_SUMMIT_2050_US40_Richardson_!$A:$Z,26,FALSE)</f>
        <v>0</v>
      </c>
      <c r="R52">
        <f t="shared" si="0"/>
        <v>0</v>
      </c>
      <c r="S52">
        <f t="shared" si="1"/>
        <v>0</v>
      </c>
      <c r="T52">
        <f t="shared" si="2"/>
        <v>0</v>
      </c>
      <c r="U52">
        <f t="shared" si="3"/>
        <v>0</v>
      </c>
    </row>
    <row r="53" spans="1:23" x14ac:dyDescent="0.25">
      <c r="A53">
        <v>43052</v>
      </c>
      <c r="B53">
        <v>9</v>
      </c>
      <c r="C53">
        <v>0</v>
      </c>
      <c r="D53">
        <v>0</v>
      </c>
      <c r="E53">
        <v>0</v>
      </c>
      <c r="F53">
        <f>VLOOKUP(A53,[1]SE_SUMMIT_2032_US40!$A:$Y,23,FALSE)</f>
        <v>9</v>
      </c>
      <c r="G53">
        <f>VLOOKUP(A53,[1]SE_SUMMIT_2032_US40!$A:$Y,24,FALSE)</f>
        <v>0</v>
      </c>
      <c r="H53">
        <f>VLOOKUP(A53,[1]SE_SUMMIT_2032_US40!$A:$Y,25,FALSE)</f>
        <v>0</v>
      </c>
      <c r="I53">
        <f>VLOOKUP(A53,[1]SE_SUMMIT_2032_US40!$A:$Z,26,FALSE)</f>
        <v>0</v>
      </c>
      <c r="J53">
        <f>VLOOKUP(A53,[2]SE_SUMMIT_2042_US40!$A:$Y,23,FALSE)</f>
        <v>9</v>
      </c>
      <c r="K53">
        <f>VLOOKUP(A53,[2]SE_SUMMIT_2042_US40!$A:$Y,24,FALSE)</f>
        <v>0</v>
      </c>
      <c r="L53">
        <f>VLOOKUP(A53,[2]SE_SUMMIT_2042_US40!$A:$Y,25,FALSE)</f>
        <v>0</v>
      </c>
      <c r="M53">
        <f>VLOOKUP(A53,[2]SE_SUMMIT_2042_US40!$A:$Z,26,FALSE)</f>
        <v>0</v>
      </c>
      <c r="N53">
        <f>VLOOKUP(A53,[3]SE_SUMMIT_2050_US40_Richardson_!$A:$Y,23,FALSE)</f>
        <v>9</v>
      </c>
      <c r="O53">
        <f>VLOOKUP(A53,[3]SE_SUMMIT_2050_US40_Richardson_!$A:$Y,24,FALSE)</f>
        <v>0</v>
      </c>
      <c r="P53">
        <f>VLOOKUP(A53,[3]SE_SUMMIT_2050_US40_Richardson_!$A:$Y,25,FALSE)</f>
        <v>0</v>
      </c>
      <c r="Q53">
        <f>VLOOKUP(A53,[3]SE_SUMMIT_2050_US40_Richardson_!$A:$Z,26,FALSE)</f>
        <v>0</v>
      </c>
      <c r="R53">
        <f t="shared" si="0"/>
        <v>0</v>
      </c>
      <c r="S53">
        <f t="shared" si="1"/>
        <v>0</v>
      </c>
      <c r="T53">
        <f t="shared" si="2"/>
        <v>0</v>
      </c>
      <c r="U53">
        <f t="shared" si="3"/>
        <v>0</v>
      </c>
    </row>
    <row r="54" spans="1:23" x14ac:dyDescent="0.25">
      <c r="A54">
        <v>43053</v>
      </c>
      <c r="B54">
        <v>0</v>
      </c>
      <c r="C54">
        <v>0</v>
      </c>
      <c r="D54">
        <v>0</v>
      </c>
      <c r="E54">
        <v>0</v>
      </c>
      <c r="F54">
        <f>VLOOKUP(A54,[1]SE_SUMMIT_2032_US40!$A:$Y,23,FALSE)</f>
        <v>0</v>
      </c>
      <c r="G54">
        <f>VLOOKUP(A54,[1]SE_SUMMIT_2032_US40!$A:$Y,24,FALSE)</f>
        <v>0</v>
      </c>
      <c r="H54">
        <f>VLOOKUP(A54,[1]SE_SUMMIT_2032_US40!$A:$Y,25,FALSE)</f>
        <v>0</v>
      </c>
      <c r="I54">
        <f>VLOOKUP(A54,[1]SE_SUMMIT_2032_US40!$A:$Z,26,FALSE)</f>
        <v>0</v>
      </c>
      <c r="J54">
        <f>VLOOKUP(A54,[2]SE_SUMMIT_2042_US40!$A:$Y,23,FALSE)</f>
        <v>0</v>
      </c>
      <c r="K54">
        <f>VLOOKUP(A54,[2]SE_SUMMIT_2042_US40!$A:$Y,24,FALSE)</f>
        <v>0</v>
      </c>
      <c r="L54">
        <f>VLOOKUP(A54,[2]SE_SUMMIT_2042_US40!$A:$Y,25,FALSE)</f>
        <v>0</v>
      </c>
      <c r="M54">
        <f>VLOOKUP(A54,[2]SE_SUMMIT_2042_US40!$A:$Z,26,FALSE)</f>
        <v>0</v>
      </c>
      <c r="N54">
        <f>VLOOKUP(A54,[3]SE_SUMMIT_2050_US40_Richardson_!$A:$Y,23,FALSE)</f>
        <v>0</v>
      </c>
      <c r="O54">
        <f>VLOOKUP(A54,[3]SE_SUMMIT_2050_US40_Richardson_!$A:$Y,24,FALSE)</f>
        <v>0</v>
      </c>
      <c r="P54">
        <f>VLOOKUP(A54,[3]SE_SUMMIT_2050_US40_Richardson_!$A:$Y,25,FALSE)</f>
        <v>0</v>
      </c>
      <c r="Q54">
        <f>VLOOKUP(A54,[3]SE_SUMMIT_2050_US40_Richardson_!$A:$Z,26,FALSE)</f>
        <v>0</v>
      </c>
      <c r="R54">
        <f t="shared" si="0"/>
        <v>0</v>
      </c>
      <c r="S54">
        <f t="shared" si="1"/>
        <v>0</v>
      </c>
      <c r="T54">
        <f t="shared" si="2"/>
        <v>0</v>
      </c>
      <c r="U54">
        <f t="shared" si="3"/>
        <v>0</v>
      </c>
    </row>
    <row r="55" spans="1:23" x14ac:dyDescent="0.25">
      <c r="A55">
        <v>43054</v>
      </c>
      <c r="B55">
        <v>5</v>
      </c>
      <c r="C55">
        <v>0</v>
      </c>
      <c r="D55">
        <v>0</v>
      </c>
      <c r="E55">
        <v>0</v>
      </c>
      <c r="F55">
        <f>VLOOKUP(A55,[1]SE_SUMMIT_2032_US40!$A:$Y,23,FALSE)</f>
        <v>5</v>
      </c>
      <c r="G55">
        <f>VLOOKUP(A55,[1]SE_SUMMIT_2032_US40!$A:$Y,24,FALSE)</f>
        <v>0</v>
      </c>
      <c r="H55">
        <f>VLOOKUP(A55,[1]SE_SUMMIT_2032_US40!$A:$Y,25,FALSE)</f>
        <v>0</v>
      </c>
      <c r="I55">
        <f>VLOOKUP(A55,[1]SE_SUMMIT_2032_US40!$A:$Z,26,FALSE)</f>
        <v>0</v>
      </c>
      <c r="J55">
        <f>VLOOKUP(A55,[2]SE_SUMMIT_2042_US40!$A:$Y,23,FALSE)</f>
        <v>5</v>
      </c>
      <c r="K55">
        <f>VLOOKUP(A55,[2]SE_SUMMIT_2042_US40!$A:$Y,24,FALSE)</f>
        <v>0</v>
      </c>
      <c r="L55">
        <f>VLOOKUP(A55,[2]SE_SUMMIT_2042_US40!$A:$Y,25,FALSE)</f>
        <v>0</v>
      </c>
      <c r="M55">
        <f>VLOOKUP(A55,[2]SE_SUMMIT_2042_US40!$A:$Z,26,FALSE)</f>
        <v>0</v>
      </c>
      <c r="N55">
        <f>VLOOKUP(A55,[3]SE_SUMMIT_2050_US40_Richardson_!$A:$Y,23,FALSE)</f>
        <v>5</v>
      </c>
      <c r="O55">
        <f>VLOOKUP(A55,[3]SE_SUMMIT_2050_US40_Richardson_!$A:$Y,24,FALSE)</f>
        <v>0</v>
      </c>
      <c r="P55">
        <f>VLOOKUP(A55,[3]SE_SUMMIT_2050_US40_Richardson_!$A:$Y,25,FALSE)</f>
        <v>0</v>
      </c>
      <c r="Q55">
        <f>VLOOKUP(A55,[3]SE_SUMMIT_2050_US40_Richardson_!$A:$Z,26,FALSE)</f>
        <v>0</v>
      </c>
      <c r="R55">
        <f t="shared" si="0"/>
        <v>0</v>
      </c>
      <c r="S55">
        <f t="shared" si="1"/>
        <v>0</v>
      </c>
      <c r="T55">
        <f t="shared" si="2"/>
        <v>0</v>
      </c>
      <c r="U55">
        <f t="shared" si="3"/>
        <v>0</v>
      </c>
    </row>
    <row r="56" spans="1:23" x14ac:dyDescent="0.25">
      <c r="A56">
        <v>43055</v>
      </c>
      <c r="B56">
        <v>29</v>
      </c>
      <c r="C56">
        <v>0</v>
      </c>
      <c r="D56">
        <v>91</v>
      </c>
      <c r="E56">
        <v>1180</v>
      </c>
      <c r="F56">
        <f>VLOOKUP(A56,[1]SE_SUMMIT_2032_US40!$A:$Y,23,FALSE)</f>
        <v>29</v>
      </c>
      <c r="G56">
        <f>VLOOKUP(A56,[1]SE_SUMMIT_2032_US40!$A:$Y,24,FALSE)</f>
        <v>0</v>
      </c>
      <c r="H56">
        <f>VLOOKUP(A56,[1]SE_SUMMIT_2032_US40!$A:$Y,25,FALSE)</f>
        <v>91</v>
      </c>
      <c r="I56">
        <f>VLOOKUP(A56,[1]SE_SUMMIT_2032_US40!$A:$Z,26,FALSE)</f>
        <v>1180</v>
      </c>
      <c r="J56">
        <f>VLOOKUP(A56,[2]SE_SUMMIT_2042_US40!$A:$Y,23,FALSE)</f>
        <v>29</v>
      </c>
      <c r="K56">
        <f>VLOOKUP(A56,[2]SE_SUMMIT_2042_US40!$A:$Y,24,FALSE)</f>
        <v>0</v>
      </c>
      <c r="L56">
        <f>VLOOKUP(A56,[2]SE_SUMMIT_2042_US40!$A:$Y,25,FALSE)</f>
        <v>91</v>
      </c>
      <c r="M56">
        <f>VLOOKUP(A56,[2]SE_SUMMIT_2042_US40!$A:$Z,26,FALSE)</f>
        <v>1180</v>
      </c>
      <c r="N56">
        <f>VLOOKUP(A56,[3]SE_SUMMIT_2050_US40_Richardson_!$A:$Y,23,FALSE)</f>
        <v>29</v>
      </c>
      <c r="O56">
        <f>VLOOKUP(A56,[3]SE_SUMMIT_2050_US40_Richardson_!$A:$Y,24,FALSE)</f>
        <v>0</v>
      </c>
      <c r="P56">
        <f>VLOOKUP(A56,[3]SE_SUMMIT_2050_US40_Richardson_!$A:$Y,25,FALSE)</f>
        <v>91</v>
      </c>
      <c r="Q56">
        <f>VLOOKUP(A56,[3]SE_SUMMIT_2050_US40_Richardson_!$A:$Z,26,FALSE)</f>
        <v>1180</v>
      </c>
      <c r="R56">
        <f t="shared" si="0"/>
        <v>0</v>
      </c>
      <c r="S56">
        <f t="shared" si="1"/>
        <v>0</v>
      </c>
      <c r="T56">
        <f t="shared" si="2"/>
        <v>0</v>
      </c>
      <c r="U56">
        <f t="shared" si="3"/>
        <v>0</v>
      </c>
    </row>
    <row r="57" spans="1:23" x14ac:dyDescent="0.25">
      <c r="A57">
        <v>43056</v>
      </c>
      <c r="B57">
        <v>1</v>
      </c>
      <c r="C57">
        <v>0</v>
      </c>
      <c r="D57">
        <v>61</v>
      </c>
      <c r="E57">
        <v>0</v>
      </c>
      <c r="F57">
        <f>VLOOKUP(A57,[1]SE_SUMMIT_2032_US40!$A:$Y,23,FALSE)</f>
        <v>1</v>
      </c>
      <c r="G57">
        <f>VLOOKUP(A57,[1]SE_SUMMIT_2032_US40!$A:$Y,24,FALSE)</f>
        <v>0</v>
      </c>
      <c r="H57">
        <f>VLOOKUP(A57,[1]SE_SUMMIT_2032_US40!$A:$Y,25,FALSE)</f>
        <v>61</v>
      </c>
      <c r="I57">
        <f>VLOOKUP(A57,[1]SE_SUMMIT_2032_US40!$A:$Z,26,FALSE)</f>
        <v>0</v>
      </c>
      <c r="J57">
        <f>VLOOKUP(A57,[2]SE_SUMMIT_2042_US40!$A:$Y,23,FALSE)</f>
        <v>1</v>
      </c>
      <c r="K57">
        <f>VLOOKUP(A57,[2]SE_SUMMIT_2042_US40!$A:$Y,24,FALSE)</f>
        <v>0</v>
      </c>
      <c r="L57">
        <f>VLOOKUP(A57,[2]SE_SUMMIT_2042_US40!$A:$Y,25,FALSE)</f>
        <v>61</v>
      </c>
      <c r="M57">
        <f>VLOOKUP(A57,[2]SE_SUMMIT_2042_US40!$A:$Z,26,FALSE)</f>
        <v>0</v>
      </c>
      <c r="N57">
        <f>VLOOKUP(A57,[3]SE_SUMMIT_2050_US40_Richardson_!$A:$Y,23,FALSE)</f>
        <v>1</v>
      </c>
      <c r="O57">
        <f>VLOOKUP(A57,[3]SE_SUMMIT_2050_US40_Richardson_!$A:$Y,24,FALSE)</f>
        <v>0</v>
      </c>
      <c r="P57">
        <f>VLOOKUP(A57,[3]SE_SUMMIT_2050_US40_Richardson_!$A:$Y,25,FALSE)</f>
        <v>61</v>
      </c>
      <c r="Q57">
        <f>VLOOKUP(A57,[3]SE_SUMMIT_2050_US40_Richardson_!$A:$Z,26,FALSE)</f>
        <v>0</v>
      </c>
      <c r="R57">
        <f t="shared" si="0"/>
        <v>0</v>
      </c>
      <c r="S57">
        <f t="shared" si="1"/>
        <v>0</v>
      </c>
      <c r="T57">
        <f t="shared" si="2"/>
        <v>0</v>
      </c>
      <c r="U57">
        <f t="shared" si="3"/>
        <v>0</v>
      </c>
    </row>
    <row r="58" spans="1:23" x14ac:dyDescent="0.25">
      <c r="A58">
        <v>43057</v>
      </c>
      <c r="B58">
        <v>0</v>
      </c>
      <c r="C58">
        <v>0</v>
      </c>
      <c r="D58">
        <v>33</v>
      </c>
      <c r="E58">
        <v>0</v>
      </c>
      <c r="F58">
        <f>VLOOKUP(A58,[1]SE_SUMMIT_2032_US40!$A:$Y,23,FALSE)</f>
        <v>0</v>
      </c>
      <c r="G58">
        <f>VLOOKUP(A58,[1]SE_SUMMIT_2032_US40!$A:$Y,24,FALSE)</f>
        <v>0</v>
      </c>
      <c r="H58">
        <f>VLOOKUP(A58,[1]SE_SUMMIT_2032_US40!$A:$Y,25,FALSE)</f>
        <v>33</v>
      </c>
      <c r="I58">
        <f>VLOOKUP(A58,[1]SE_SUMMIT_2032_US40!$A:$Z,26,FALSE)</f>
        <v>0</v>
      </c>
      <c r="J58">
        <f>VLOOKUP(A58,[2]SE_SUMMIT_2042_US40!$A:$Y,23,FALSE)</f>
        <v>0</v>
      </c>
      <c r="K58">
        <f>VLOOKUP(A58,[2]SE_SUMMIT_2042_US40!$A:$Y,24,FALSE)</f>
        <v>0</v>
      </c>
      <c r="L58">
        <f>VLOOKUP(A58,[2]SE_SUMMIT_2042_US40!$A:$Y,25,FALSE)</f>
        <v>33</v>
      </c>
      <c r="M58">
        <f>VLOOKUP(A58,[2]SE_SUMMIT_2042_US40!$A:$Z,26,FALSE)</f>
        <v>0</v>
      </c>
      <c r="N58">
        <f>VLOOKUP(A58,[3]SE_SUMMIT_2050_US40_Richardson_!$A:$Y,23,FALSE)</f>
        <v>0</v>
      </c>
      <c r="O58">
        <f>VLOOKUP(A58,[3]SE_SUMMIT_2050_US40_Richardson_!$A:$Y,24,FALSE)</f>
        <v>0</v>
      </c>
      <c r="P58">
        <f>VLOOKUP(A58,[3]SE_SUMMIT_2050_US40_Richardson_!$A:$Y,25,FALSE)</f>
        <v>33</v>
      </c>
      <c r="Q58">
        <f>VLOOKUP(A58,[3]SE_SUMMIT_2050_US40_Richardson_!$A:$Z,26,FALSE)</f>
        <v>0</v>
      </c>
      <c r="R58">
        <f t="shared" si="0"/>
        <v>0</v>
      </c>
      <c r="S58">
        <f t="shared" si="1"/>
        <v>0</v>
      </c>
      <c r="T58">
        <f t="shared" si="2"/>
        <v>0</v>
      </c>
      <c r="U58">
        <f t="shared" si="3"/>
        <v>0</v>
      </c>
    </row>
    <row r="59" spans="1:23" x14ac:dyDescent="0.25">
      <c r="A59">
        <v>43058</v>
      </c>
      <c r="B59">
        <v>0</v>
      </c>
      <c r="C59">
        <v>0</v>
      </c>
      <c r="D59">
        <v>149</v>
      </c>
      <c r="E59">
        <v>0</v>
      </c>
      <c r="F59">
        <f>VLOOKUP(A59,[1]SE_SUMMIT_2032_US40!$A:$Y,23,FALSE)</f>
        <v>0</v>
      </c>
      <c r="G59">
        <f>VLOOKUP(A59,[1]SE_SUMMIT_2032_US40!$A:$Y,24,FALSE)</f>
        <v>0</v>
      </c>
      <c r="H59">
        <f>VLOOKUP(A59,[1]SE_SUMMIT_2032_US40!$A:$Y,25,FALSE)</f>
        <v>158</v>
      </c>
      <c r="I59">
        <f>VLOOKUP(A59,[1]SE_SUMMIT_2032_US40!$A:$Z,26,FALSE)</f>
        <v>0</v>
      </c>
      <c r="J59">
        <f>VLOOKUP(A59,[2]SE_SUMMIT_2042_US40!$A:$Y,23,FALSE)</f>
        <v>0</v>
      </c>
      <c r="K59">
        <f>VLOOKUP(A59,[2]SE_SUMMIT_2042_US40!$A:$Y,24,FALSE)</f>
        <v>0</v>
      </c>
      <c r="L59">
        <f>VLOOKUP(A59,[2]SE_SUMMIT_2042_US40!$A:$Y,25,FALSE)</f>
        <v>158</v>
      </c>
      <c r="M59">
        <f>VLOOKUP(A59,[2]SE_SUMMIT_2042_US40!$A:$Z,26,FALSE)</f>
        <v>0</v>
      </c>
      <c r="N59">
        <f>VLOOKUP(A59,[3]SE_SUMMIT_2050_US40_Richardson_!$A:$Y,23,FALSE)</f>
        <v>0</v>
      </c>
      <c r="O59">
        <f>VLOOKUP(A59,[3]SE_SUMMIT_2050_US40_Richardson_!$A:$Y,24,FALSE)</f>
        <v>0</v>
      </c>
      <c r="P59">
        <f>VLOOKUP(A59,[3]SE_SUMMIT_2050_US40_Richardson_!$A:$Y,25,FALSE)</f>
        <v>158</v>
      </c>
      <c r="Q59">
        <f>VLOOKUP(A59,[3]SE_SUMMIT_2050_US40_Richardson_!$A:$Z,26,FALSE)</f>
        <v>0</v>
      </c>
      <c r="R59">
        <f t="shared" si="0"/>
        <v>0</v>
      </c>
      <c r="S59">
        <f t="shared" si="1"/>
        <v>0</v>
      </c>
      <c r="T59">
        <f t="shared" si="2"/>
        <v>9</v>
      </c>
      <c r="U59">
        <f t="shared" si="3"/>
        <v>0</v>
      </c>
    </row>
    <row r="60" spans="1:23" x14ac:dyDescent="0.25">
      <c r="A60">
        <v>43059</v>
      </c>
      <c r="B60">
        <v>0</v>
      </c>
      <c r="C60">
        <v>0</v>
      </c>
      <c r="D60">
        <v>0</v>
      </c>
      <c r="E60">
        <v>0</v>
      </c>
      <c r="F60">
        <f>VLOOKUP(A60,[1]SE_SUMMIT_2032_US40!$A:$Y,23,FALSE)</f>
        <v>0</v>
      </c>
      <c r="G60">
        <f>VLOOKUP(A60,[1]SE_SUMMIT_2032_US40!$A:$Y,24,FALSE)</f>
        <v>0</v>
      </c>
      <c r="H60">
        <f>VLOOKUP(A60,[1]SE_SUMMIT_2032_US40!$A:$Y,25,FALSE)</f>
        <v>0</v>
      </c>
      <c r="I60">
        <f>VLOOKUP(A60,[1]SE_SUMMIT_2032_US40!$A:$Z,26,FALSE)</f>
        <v>0</v>
      </c>
      <c r="J60">
        <f>VLOOKUP(A60,[2]SE_SUMMIT_2042_US40!$A:$Y,23,FALSE)</f>
        <v>0</v>
      </c>
      <c r="K60">
        <f>VLOOKUP(A60,[2]SE_SUMMIT_2042_US40!$A:$Y,24,FALSE)</f>
        <v>0</v>
      </c>
      <c r="L60">
        <f>VLOOKUP(A60,[2]SE_SUMMIT_2042_US40!$A:$Y,25,FALSE)</f>
        <v>0</v>
      </c>
      <c r="M60">
        <f>VLOOKUP(A60,[2]SE_SUMMIT_2042_US40!$A:$Z,26,FALSE)</f>
        <v>0</v>
      </c>
      <c r="N60">
        <f>VLOOKUP(A60,[3]SE_SUMMIT_2050_US40_Richardson_!$A:$Y,23,FALSE)</f>
        <v>0</v>
      </c>
      <c r="O60">
        <f>VLOOKUP(A60,[3]SE_SUMMIT_2050_US40_Richardson_!$A:$Y,24,FALSE)</f>
        <v>0</v>
      </c>
      <c r="P60">
        <f>VLOOKUP(A60,[3]SE_SUMMIT_2050_US40_Richardson_!$A:$Y,25,FALSE)</f>
        <v>0</v>
      </c>
      <c r="Q60">
        <f>VLOOKUP(A60,[3]SE_SUMMIT_2050_US40_Richardson_!$A:$Z,26,FALSE)</f>
        <v>0</v>
      </c>
      <c r="R60">
        <f t="shared" si="0"/>
        <v>0</v>
      </c>
      <c r="S60">
        <f t="shared" si="1"/>
        <v>0</v>
      </c>
      <c r="T60">
        <f t="shared" si="2"/>
        <v>0</v>
      </c>
      <c r="U60">
        <f t="shared" si="3"/>
        <v>0</v>
      </c>
    </row>
    <row r="61" spans="1:23" x14ac:dyDescent="0.25">
      <c r="A61">
        <v>43060</v>
      </c>
      <c r="B61">
        <v>8</v>
      </c>
      <c r="C61">
        <v>0</v>
      </c>
      <c r="D61">
        <v>35</v>
      </c>
      <c r="E61">
        <v>0</v>
      </c>
      <c r="F61">
        <f>VLOOKUP(A61,[1]SE_SUMMIT_2032_US40!$A:$Y,23,FALSE)</f>
        <v>8</v>
      </c>
      <c r="G61">
        <f>VLOOKUP(A61,[1]SE_SUMMIT_2032_US40!$A:$Y,24,FALSE)</f>
        <v>0</v>
      </c>
      <c r="H61">
        <f>VLOOKUP(A61,[1]SE_SUMMIT_2032_US40!$A:$Y,25,FALSE)</f>
        <v>35</v>
      </c>
      <c r="I61">
        <f>VLOOKUP(A61,[1]SE_SUMMIT_2032_US40!$A:$Z,26,FALSE)</f>
        <v>0</v>
      </c>
      <c r="J61">
        <f>VLOOKUP(A61,[2]SE_SUMMIT_2042_US40!$A:$Y,23,FALSE)</f>
        <v>8</v>
      </c>
      <c r="K61">
        <f>VLOOKUP(A61,[2]SE_SUMMIT_2042_US40!$A:$Y,24,FALSE)</f>
        <v>0</v>
      </c>
      <c r="L61">
        <f>VLOOKUP(A61,[2]SE_SUMMIT_2042_US40!$A:$Y,25,FALSE)</f>
        <v>35</v>
      </c>
      <c r="M61">
        <f>VLOOKUP(A61,[2]SE_SUMMIT_2042_US40!$A:$Z,26,FALSE)</f>
        <v>0</v>
      </c>
      <c r="N61">
        <f>VLOOKUP(A61,[3]SE_SUMMIT_2050_US40_Richardson_!$A:$Y,23,FALSE)</f>
        <v>8</v>
      </c>
      <c r="O61">
        <f>VLOOKUP(A61,[3]SE_SUMMIT_2050_US40_Richardson_!$A:$Y,24,FALSE)</f>
        <v>0</v>
      </c>
      <c r="P61">
        <f>VLOOKUP(A61,[3]SE_SUMMIT_2050_US40_Richardson_!$A:$Y,25,FALSE)</f>
        <v>35</v>
      </c>
      <c r="Q61">
        <f>VLOOKUP(A61,[3]SE_SUMMIT_2050_US40_Richardson_!$A:$Z,26,FALSE)</f>
        <v>0</v>
      </c>
      <c r="R61">
        <f t="shared" si="0"/>
        <v>0</v>
      </c>
      <c r="S61">
        <f t="shared" si="1"/>
        <v>0</v>
      </c>
      <c r="T61">
        <f t="shared" si="2"/>
        <v>0</v>
      </c>
      <c r="U61">
        <f t="shared" si="3"/>
        <v>0</v>
      </c>
    </row>
    <row r="62" spans="1:23" x14ac:dyDescent="0.25">
      <c r="A62">
        <v>43061</v>
      </c>
      <c r="B62">
        <v>0</v>
      </c>
      <c r="C62">
        <v>0</v>
      </c>
      <c r="D62">
        <v>0</v>
      </c>
      <c r="E62">
        <v>0</v>
      </c>
      <c r="F62">
        <f>VLOOKUP(A62,[1]SE_SUMMIT_2032_US40!$A:$Y,23,FALSE)</f>
        <v>0</v>
      </c>
      <c r="G62">
        <f>VLOOKUP(A62,[1]SE_SUMMIT_2032_US40!$A:$Y,24,FALSE)</f>
        <v>0</v>
      </c>
      <c r="H62">
        <f>VLOOKUP(A62,[1]SE_SUMMIT_2032_US40!$A:$Y,25,FALSE)</f>
        <v>0</v>
      </c>
      <c r="I62">
        <f>VLOOKUP(A62,[1]SE_SUMMIT_2032_US40!$A:$Z,26,FALSE)</f>
        <v>0</v>
      </c>
      <c r="J62">
        <f>VLOOKUP(A62,[2]SE_SUMMIT_2042_US40!$A:$Y,23,FALSE)</f>
        <v>0</v>
      </c>
      <c r="K62">
        <f>VLOOKUP(A62,[2]SE_SUMMIT_2042_US40!$A:$Y,24,FALSE)</f>
        <v>0</v>
      </c>
      <c r="L62">
        <f>VLOOKUP(A62,[2]SE_SUMMIT_2042_US40!$A:$Y,25,FALSE)</f>
        <v>0</v>
      </c>
      <c r="M62">
        <f>VLOOKUP(A62,[2]SE_SUMMIT_2042_US40!$A:$Z,26,FALSE)</f>
        <v>0</v>
      </c>
      <c r="N62">
        <f>VLOOKUP(A62,[3]SE_SUMMIT_2050_US40_Richardson_!$A:$Y,23,FALSE)</f>
        <v>0</v>
      </c>
      <c r="O62">
        <f>VLOOKUP(A62,[3]SE_SUMMIT_2050_US40_Richardson_!$A:$Y,24,FALSE)</f>
        <v>0</v>
      </c>
      <c r="P62">
        <f>VLOOKUP(A62,[3]SE_SUMMIT_2050_US40_Richardson_!$A:$Y,25,FALSE)</f>
        <v>0</v>
      </c>
      <c r="Q62">
        <f>VLOOKUP(A62,[3]SE_SUMMIT_2050_US40_Richardson_!$A:$Z,26,FALSE)</f>
        <v>0</v>
      </c>
      <c r="R62">
        <f t="shared" si="0"/>
        <v>0</v>
      </c>
      <c r="S62">
        <f t="shared" si="1"/>
        <v>0</v>
      </c>
      <c r="T62">
        <f t="shared" si="2"/>
        <v>0</v>
      </c>
      <c r="U62">
        <f t="shared" si="3"/>
        <v>0</v>
      </c>
    </row>
    <row r="63" spans="1:23" x14ac:dyDescent="0.25">
      <c r="A63">
        <v>43062</v>
      </c>
      <c r="B63">
        <v>4</v>
      </c>
      <c r="C63">
        <v>0</v>
      </c>
      <c r="D63">
        <v>0</v>
      </c>
      <c r="E63">
        <v>0</v>
      </c>
      <c r="F63">
        <f>VLOOKUP(A63,[1]SE_SUMMIT_2032_US40!$A:$Y,23,FALSE)</f>
        <v>4</v>
      </c>
      <c r="G63">
        <f>VLOOKUP(A63,[1]SE_SUMMIT_2032_US40!$A:$Y,24,FALSE)</f>
        <v>0</v>
      </c>
      <c r="H63">
        <f>VLOOKUP(A63,[1]SE_SUMMIT_2032_US40!$A:$Y,25,FALSE)</f>
        <v>0</v>
      </c>
      <c r="I63">
        <f>VLOOKUP(A63,[1]SE_SUMMIT_2032_US40!$A:$Z,26,FALSE)</f>
        <v>0</v>
      </c>
      <c r="J63">
        <f>VLOOKUP(A63,[2]SE_SUMMIT_2042_US40!$A:$Y,23,FALSE)</f>
        <v>4</v>
      </c>
      <c r="K63">
        <f>VLOOKUP(A63,[2]SE_SUMMIT_2042_US40!$A:$Y,24,FALSE)</f>
        <v>0</v>
      </c>
      <c r="L63">
        <f>VLOOKUP(A63,[2]SE_SUMMIT_2042_US40!$A:$Y,25,FALSE)</f>
        <v>0</v>
      </c>
      <c r="M63">
        <f>VLOOKUP(A63,[2]SE_SUMMIT_2042_US40!$A:$Z,26,FALSE)</f>
        <v>0</v>
      </c>
      <c r="N63">
        <f>VLOOKUP(A63,[3]SE_SUMMIT_2050_US40_Richardson_!$A:$Y,23,FALSE)</f>
        <v>4</v>
      </c>
      <c r="O63">
        <f>VLOOKUP(A63,[3]SE_SUMMIT_2050_US40_Richardson_!$A:$Y,24,FALSE)</f>
        <v>0</v>
      </c>
      <c r="P63">
        <f>VLOOKUP(A63,[3]SE_SUMMIT_2050_US40_Richardson_!$A:$Y,25,FALSE)</f>
        <v>0</v>
      </c>
      <c r="Q63">
        <f>VLOOKUP(A63,[3]SE_SUMMIT_2050_US40_Richardson_!$A:$Z,26,FALSE)</f>
        <v>0</v>
      </c>
      <c r="R63">
        <f t="shared" si="0"/>
        <v>0</v>
      </c>
      <c r="S63">
        <f t="shared" si="1"/>
        <v>0</v>
      </c>
      <c r="T63">
        <f t="shared" si="2"/>
        <v>0</v>
      </c>
      <c r="U63">
        <f t="shared" si="3"/>
        <v>0</v>
      </c>
    </row>
    <row r="64" spans="1:23" x14ac:dyDescent="0.25">
      <c r="A64">
        <v>43063</v>
      </c>
      <c r="B64">
        <v>0</v>
      </c>
      <c r="C64">
        <v>0</v>
      </c>
      <c r="D64">
        <v>0</v>
      </c>
      <c r="E64">
        <v>0</v>
      </c>
      <c r="F64">
        <f>VLOOKUP(A64,[1]SE_SUMMIT_2032_US40!$A:$Y,23,FALSE)</f>
        <v>0</v>
      </c>
      <c r="G64">
        <f>VLOOKUP(A64,[1]SE_SUMMIT_2032_US40!$A:$Y,24,FALSE)</f>
        <v>0</v>
      </c>
      <c r="H64">
        <f>VLOOKUP(A64,[1]SE_SUMMIT_2032_US40!$A:$Y,25,FALSE)</f>
        <v>0</v>
      </c>
      <c r="I64">
        <f>VLOOKUP(A64,[1]SE_SUMMIT_2032_US40!$A:$Z,26,FALSE)</f>
        <v>0</v>
      </c>
      <c r="J64">
        <f>VLOOKUP(A64,[2]SE_SUMMIT_2042_US40!$A:$Y,23,FALSE)</f>
        <v>0</v>
      </c>
      <c r="K64">
        <f>VLOOKUP(A64,[2]SE_SUMMIT_2042_US40!$A:$Y,24,FALSE)</f>
        <v>0</v>
      </c>
      <c r="L64">
        <f>VLOOKUP(A64,[2]SE_SUMMIT_2042_US40!$A:$Y,25,FALSE)</f>
        <v>0</v>
      </c>
      <c r="M64">
        <f>VLOOKUP(A64,[2]SE_SUMMIT_2042_US40!$A:$Z,26,FALSE)</f>
        <v>0</v>
      </c>
      <c r="N64">
        <f>VLOOKUP(A64,[3]SE_SUMMIT_2050_US40_Richardson_!$A:$Y,23,FALSE)</f>
        <v>0</v>
      </c>
      <c r="O64">
        <f>VLOOKUP(A64,[3]SE_SUMMIT_2050_US40_Richardson_!$A:$Y,24,FALSE)</f>
        <v>0</v>
      </c>
      <c r="P64">
        <f>VLOOKUP(A64,[3]SE_SUMMIT_2050_US40_Richardson_!$A:$Y,25,FALSE)</f>
        <v>0</v>
      </c>
      <c r="Q64">
        <f>VLOOKUP(A64,[3]SE_SUMMIT_2050_US40_Richardson_!$A:$Z,26,FALSE)</f>
        <v>0</v>
      </c>
      <c r="R64">
        <f t="shared" si="0"/>
        <v>0</v>
      </c>
      <c r="S64">
        <f t="shared" si="1"/>
        <v>0</v>
      </c>
      <c r="T64">
        <f t="shared" si="2"/>
        <v>0</v>
      </c>
      <c r="U64">
        <f t="shared" si="3"/>
        <v>0</v>
      </c>
    </row>
    <row r="65" spans="1:24" x14ac:dyDescent="0.25">
      <c r="A65">
        <v>43064</v>
      </c>
      <c r="B65">
        <v>188</v>
      </c>
      <c r="C65">
        <v>0</v>
      </c>
      <c r="D65">
        <v>0</v>
      </c>
      <c r="E65">
        <v>0</v>
      </c>
      <c r="F65">
        <f>VLOOKUP(A65,[1]SE_SUMMIT_2032_US40!$A:$Y,23,FALSE)</f>
        <v>188</v>
      </c>
      <c r="G65">
        <f>VLOOKUP(A65,[1]SE_SUMMIT_2032_US40!$A:$Y,24,FALSE)</f>
        <v>0</v>
      </c>
      <c r="H65">
        <f>VLOOKUP(A65,[1]SE_SUMMIT_2032_US40!$A:$Y,25,FALSE)</f>
        <v>0</v>
      </c>
      <c r="I65">
        <f>VLOOKUP(A65,[1]SE_SUMMIT_2032_US40!$A:$Z,26,FALSE)</f>
        <v>0</v>
      </c>
      <c r="J65">
        <f>VLOOKUP(A65,[2]SE_SUMMIT_2042_US40!$A:$Y,23,FALSE)</f>
        <v>188</v>
      </c>
      <c r="K65">
        <f>VLOOKUP(A65,[2]SE_SUMMIT_2042_US40!$A:$Y,24,FALSE)</f>
        <v>0</v>
      </c>
      <c r="L65">
        <f>VLOOKUP(A65,[2]SE_SUMMIT_2042_US40!$A:$Y,25,FALSE)</f>
        <v>45</v>
      </c>
      <c r="M65">
        <f>VLOOKUP(A65,[2]SE_SUMMIT_2042_US40!$A:$Z,26,FALSE)</f>
        <v>1080</v>
      </c>
      <c r="N65">
        <f>VLOOKUP(A65,[3]SE_SUMMIT_2050_US40_Richardson_!$A:$Y,23,FALSE)</f>
        <v>188</v>
      </c>
      <c r="O65">
        <f>VLOOKUP(A65,[3]SE_SUMMIT_2050_US40_Richardson_!$A:$Y,24,FALSE)</f>
        <v>0</v>
      </c>
      <c r="P65">
        <f>VLOOKUP(A65,[3]SE_SUMMIT_2050_US40_Richardson_!$A:$Y,25,FALSE)</f>
        <v>51</v>
      </c>
      <c r="Q65">
        <f>VLOOKUP(A65,[3]SE_SUMMIT_2050_US40_Richardson_!$A:$Z,26,FALSE)</f>
        <v>1191</v>
      </c>
      <c r="R65">
        <f t="shared" si="0"/>
        <v>0</v>
      </c>
      <c r="S65">
        <f t="shared" si="1"/>
        <v>0</v>
      </c>
      <c r="T65">
        <f t="shared" si="2"/>
        <v>51</v>
      </c>
      <c r="U65">
        <f t="shared" si="3"/>
        <v>1191</v>
      </c>
      <c r="W65">
        <f>N65-162+P65</f>
        <v>77</v>
      </c>
      <c r="X65">
        <f>P65/W65</f>
        <v>0.66233766233766234</v>
      </c>
    </row>
    <row r="66" spans="1:24" x14ac:dyDescent="0.25">
      <c r="A66">
        <v>43065</v>
      </c>
      <c r="B66">
        <v>47</v>
      </c>
      <c r="C66">
        <v>0</v>
      </c>
      <c r="D66">
        <v>0</v>
      </c>
      <c r="E66">
        <v>0</v>
      </c>
      <c r="F66">
        <f>VLOOKUP(A66,[1]SE_SUMMIT_2032_US40!$A:$Y,23,FALSE)</f>
        <v>47</v>
      </c>
      <c r="G66">
        <f>VLOOKUP(A66,[1]SE_SUMMIT_2032_US40!$A:$Y,24,FALSE)</f>
        <v>0</v>
      </c>
      <c r="H66">
        <f>VLOOKUP(A66,[1]SE_SUMMIT_2032_US40!$A:$Y,25,FALSE)</f>
        <v>0</v>
      </c>
      <c r="I66">
        <f>VLOOKUP(A66,[1]SE_SUMMIT_2032_US40!$A:$Z,26,FALSE)</f>
        <v>0</v>
      </c>
      <c r="J66">
        <f>VLOOKUP(A66,[2]SE_SUMMIT_2042_US40!$A:$Y,23,FALSE)</f>
        <v>47</v>
      </c>
      <c r="K66">
        <f>VLOOKUP(A66,[2]SE_SUMMIT_2042_US40!$A:$Y,24,FALSE)</f>
        <v>0</v>
      </c>
      <c r="L66">
        <f>VLOOKUP(A66,[2]SE_SUMMIT_2042_US40!$A:$Y,25,FALSE)</f>
        <v>0</v>
      </c>
      <c r="M66">
        <f>VLOOKUP(A66,[2]SE_SUMMIT_2042_US40!$A:$Z,26,FALSE)</f>
        <v>0</v>
      </c>
      <c r="N66">
        <f>VLOOKUP(A66,[3]SE_SUMMIT_2050_US40_Richardson_!$A:$Y,23,FALSE)</f>
        <v>47</v>
      </c>
      <c r="O66">
        <f>VLOOKUP(A66,[3]SE_SUMMIT_2050_US40_Richardson_!$A:$Y,24,FALSE)</f>
        <v>0</v>
      </c>
      <c r="P66">
        <f>VLOOKUP(A66,[3]SE_SUMMIT_2050_US40_Richardson_!$A:$Y,25,FALSE)</f>
        <v>0</v>
      </c>
      <c r="Q66">
        <f>VLOOKUP(A66,[3]SE_SUMMIT_2050_US40_Richardson_!$A:$Z,26,FALSE)</f>
        <v>0</v>
      </c>
      <c r="R66">
        <f t="shared" si="0"/>
        <v>0</v>
      </c>
      <c r="S66">
        <f t="shared" si="1"/>
        <v>0</v>
      </c>
      <c r="T66">
        <f t="shared" si="2"/>
        <v>0</v>
      </c>
      <c r="U66">
        <f t="shared" si="3"/>
        <v>0</v>
      </c>
    </row>
    <row r="67" spans="1:24" x14ac:dyDescent="0.25">
      <c r="A67">
        <v>43066</v>
      </c>
      <c r="B67">
        <v>31</v>
      </c>
      <c r="C67">
        <v>0</v>
      </c>
      <c r="D67">
        <v>0</v>
      </c>
      <c r="E67">
        <v>0</v>
      </c>
      <c r="F67">
        <f>VLOOKUP(A67,[1]SE_SUMMIT_2032_US40!$A:$Y,23,FALSE)</f>
        <v>31</v>
      </c>
      <c r="G67">
        <f>VLOOKUP(A67,[1]SE_SUMMIT_2032_US40!$A:$Y,24,FALSE)</f>
        <v>0</v>
      </c>
      <c r="H67">
        <f>VLOOKUP(A67,[1]SE_SUMMIT_2032_US40!$A:$Y,25,FALSE)</f>
        <v>0</v>
      </c>
      <c r="I67">
        <f>VLOOKUP(A67,[1]SE_SUMMIT_2032_US40!$A:$Z,26,FALSE)</f>
        <v>0</v>
      </c>
      <c r="J67">
        <f>VLOOKUP(A67,[2]SE_SUMMIT_2042_US40!$A:$Y,23,FALSE)</f>
        <v>31</v>
      </c>
      <c r="K67">
        <f>VLOOKUP(A67,[2]SE_SUMMIT_2042_US40!$A:$Y,24,FALSE)</f>
        <v>0</v>
      </c>
      <c r="L67">
        <f>VLOOKUP(A67,[2]SE_SUMMIT_2042_US40!$A:$Y,25,FALSE)</f>
        <v>0</v>
      </c>
      <c r="M67">
        <f>VLOOKUP(A67,[2]SE_SUMMIT_2042_US40!$A:$Z,26,FALSE)</f>
        <v>0</v>
      </c>
      <c r="N67">
        <f>VLOOKUP(A67,[3]SE_SUMMIT_2050_US40_Richardson_!$A:$Y,23,FALSE)</f>
        <v>31</v>
      </c>
      <c r="O67">
        <f>VLOOKUP(A67,[3]SE_SUMMIT_2050_US40_Richardson_!$A:$Y,24,FALSE)</f>
        <v>0</v>
      </c>
      <c r="P67">
        <f>VLOOKUP(A67,[3]SE_SUMMIT_2050_US40_Richardson_!$A:$Y,25,FALSE)</f>
        <v>0</v>
      </c>
      <c r="Q67">
        <f>VLOOKUP(A67,[3]SE_SUMMIT_2050_US40_Richardson_!$A:$Z,26,FALSE)</f>
        <v>0</v>
      </c>
      <c r="R67">
        <f t="shared" ref="R67:R130" si="4">N67-B67</f>
        <v>0</v>
      </c>
      <c r="S67">
        <f t="shared" ref="S67:S130" si="5">O67-C67</f>
        <v>0</v>
      </c>
      <c r="T67">
        <f t="shared" ref="T67:T130" si="6">P67-D67</f>
        <v>0</v>
      </c>
      <c r="U67">
        <f t="shared" ref="U67:U130" si="7">Q67-E67</f>
        <v>0</v>
      </c>
    </row>
    <row r="68" spans="1:24" x14ac:dyDescent="0.25">
      <c r="A68">
        <v>43067</v>
      </c>
      <c r="B68">
        <v>118</v>
      </c>
      <c r="C68">
        <v>0</v>
      </c>
      <c r="D68">
        <v>0</v>
      </c>
      <c r="E68">
        <v>0</v>
      </c>
      <c r="F68">
        <f>VLOOKUP(A68,[1]SE_SUMMIT_2032_US40!$A:$Y,23,FALSE)</f>
        <v>118</v>
      </c>
      <c r="G68">
        <f>VLOOKUP(A68,[1]SE_SUMMIT_2032_US40!$A:$Y,24,FALSE)</f>
        <v>0</v>
      </c>
      <c r="H68">
        <f>VLOOKUP(A68,[1]SE_SUMMIT_2032_US40!$A:$Y,25,FALSE)</f>
        <v>0</v>
      </c>
      <c r="I68">
        <f>VLOOKUP(A68,[1]SE_SUMMIT_2032_US40!$A:$Z,26,FALSE)</f>
        <v>0</v>
      </c>
      <c r="J68">
        <f>VLOOKUP(A68,[2]SE_SUMMIT_2042_US40!$A:$Y,23,FALSE)</f>
        <v>118</v>
      </c>
      <c r="K68">
        <f>VLOOKUP(A68,[2]SE_SUMMIT_2042_US40!$A:$Y,24,FALSE)</f>
        <v>0</v>
      </c>
      <c r="L68">
        <f>VLOOKUP(A68,[2]SE_SUMMIT_2042_US40!$A:$Y,25,FALSE)</f>
        <v>0</v>
      </c>
      <c r="M68">
        <f>VLOOKUP(A68,[2]SE_SUMMIT_2042_US40!$A:$Z,26,FALSE)</f>
        <v>0</v>
      </c>
      <c r="N68">
        <f>VLOOKUP(A68,[3]SE_SUMMIT_2050_US40_Richardson_!$A:$Y,23,FALSE)</f>
        <v>118</v>
      </c>
      <c r="O68">
        <f>VLOOKUP(A68,[3]SE_SUMMIT_2050_US40_Richardson_!$A:$Y,24,FALSE)</f>
        <v>0</v>
      </c>
      <c r="P68">
        <f>VLOOKUP(A68,[3]SE_SUMMIT_2050_US40_Richardson_!$A:$Y,25,FALSE)</f>
        <v>0</v>
      </c>
      <c r="Q68">
        <f>VLOOKUP(A68,[3]SE_SUMMIT_2050_US40_Richardson_!$A:$Z,26,FALSE)</f>
        <v>0</v>
      </c>
      <c r="R68">
        <f t="shared" si="4"/>
        <v>0</v>
      </c>
      <c r="S68">
        <f t="shared" si="5"/>
        <v>0</v>
      </c>
      <c r="T68">
        <f t="shared" si="6"/>
        <v>0</v>
      </c>
      <c r="U68">
        <f t="shared" si="7"/>
        <v>0</v>
      </c>
    </row>
    <row r="69" spans="1:24" x14ac:dyDescent="0.25">
      <c r="A69">
        <v>43068</v>
      </c>
      <c r="B69">
        <v>8</v>
      </c>
      <c r="C69">
        <v>0</v>
      </c>
      <c r="D69">
        <v>0</v>
      </c>
      <c r="E69">
        <v>0</v>
      </c>
      <c r="F69">
        <f>VLOOKUP(A69,[1]SE_SUMMIT_2032_US40!$A:$Y,23,FALSE)</f>
        <v>8</v>
      </c>
      <c r="G69">
        <f>VLOOKUP(A69,[1]SE_SUMMIT_2032_US40!$A:$Y,24,FALSE)</f>
        <v>0</v>
      </c>
      <c r="H69">
        <f>VLOOKUP(A69,[1]SE_SUMMIT_2032_US40!$A:$Y,25,FALSE)</f>
        <v>0</v>
      </c>
      <c r="I69">
        <f>VLOOKUP(A69,[1]SE_SUMMIT_2032_US40!$A:$Z,26,FALSE)</f>
        <v>0</v>
      </c>
      <c r="J69">
        <f>VLOOKUP(A69,[2]SE_SUMMIT_2042_US40!$A:$Y,23,FALSE)</f>
        <v>8</v>
      </c>
      <c r="K69">
        <f>VLOOKUP(A69,[2]SE_SUMMIT_2042_US40!$A:$Y,24,FALSE)</f>
        <v>0</v>
      </c>
      <c r="L69">
        <f>VLOOKUP(A69,[2]SE_SUMMIT_2042_US40!$A:$Y,25,FALSE)</f>
        <v>0</v>
      </c>
      <c r="M69">
        <f>VLOOKUP(A69,[2]SE_SUMMIT_2042_US40!$A:$Z,26,FALSE)</f>
        <v>0</v>
      </c>
      <c r="N69">
        <f>VLOOKUP(A69,[3]SE_SUMMIT_2050_US40_Richardson_!$A:$Y,23,FALSE)</f>
        <v>8</v>
      </c>
      <c r="O69">
        <f>VLOOKUP(A69,[3]SE_SUMMIT_2050_US40_Richardson_!$A:$Y,24,FALSE)</f>
        <v>0</v>
      </c>
      <c r="P69">
        <f>VLOOKUP(A69,[3]SE_SUMMIT_2050_US40_Richardson_!$A:$Y,25,FALSE)</f>
        <v>0</v>
      </c>
      <c r="Q69">
        <f>VLOOKUP(A69,[3]SE_SUMMIT_2050_US40_Richardson_!$A:$Z,26,FALSE)</f>
        <v>0</v>
      </c>
      <c r="R69">
        <f t="shared" si="4"/>
        <v>0</v>
      </c>
      <c r="S69">
        <f t="shared" si="5"/>
        <v>0</v>
      </c>
      <c r="T69">
        <f t="shared" si="6"/>
        <v>0</v>
      </c>
      <c r="U69">
        <f t="shared" si="7"/>
        <v>0</v>
      </c>
    </row>
    <row r="70" spans="1:24" x14ac:dyDescent="0.25">
      <c r="A70">
        <v>43069</v>
      </c>
      <c r="B70">
        <v>214</v>
      </c>
      <c r="C70">
        <v>0</v>
      </c>
      <c r="D70">
        <v>0</v>
      </c>
      <c r="E70">
        <v>0</v>
      </c>
      <c r="F70">
        <f>VLOOKUP(A70,[1]SE_SUMMIT_2032_US40!$A:$Y,23,FALSE)</f>
        <v>214</v>
      </c>
      <c r="G70">
        <f>VLOOKUP(A70,[1]SE_SUMMIT_2032_US40!$A:$Y,24,FALSE)</f>
        <v>0</v>
      </c>
      <c r="H70">
        <f>VLOOKUP(A70,[1]SE_SUMMIT_2032_US40!$A:$Y,25,FALSE)</f>
        <v>0</v>
      </c>
      <c r="I70">
        <f>VLOOKUP(A70,[1]SE_SUMMIT_2032_US40!$A:$Z,26,FALSE)</f>
        <v>0</v>
      </c>
      <c r="J70">
        <f>VLOOKUP(A70,[2]SE_SUMMIT_2042_US40!$A:$Y,23,FALSE)</f>
        <v>214</v>
      </c>
      <c r="K70">
        <f>VLOOKUP(A70,[2]SE_SUMMIT_2042_US40!$A:$Y,24,FALSE)</f>
        <v>0</v>
      </c>
      <c r="L70">
        <f>VLOOKUP(A70,[2]SE_SUMMIT_2042_US40!$A:$Y,25,FALSE)</f>
        <v>0</v>
      </c>
      <c r="M70">
        <f>VLOOKUP(A70,[2]SE_SUMMIT_2042_US40!$A:$Z,26,FALSE)</f>
        <v>0</v>
      </c>
      <c r="N70">
        <f>VLOOKUP(A70,[3]SE_SUMMIT_2050_US40_Richardson_!$A:$Y,23,FALSE)</f>
        <v>214</v>
      </c>
      <c r="O70">
        <f>VLOOKUP(A70,[3]SE_SUMMIT_2050_US40_Richardson_!$A:$Y,24,FALSE)</f>
        <v>0</v>
      </c>
      <c r="P70">
        <f>VLOOKUP(A70,[3]SE_SUMMIT_2050_US40_Richardson_!$A:$Y,25,FALSE)</f>
        <v>0</v>
      </c>
      <c r="Q70">
        <f>VLOOKUP(A70,[3]SE_SUMMIT_2050_US40_Richardson_!$A:$Z,26,FALSE)</f>
        <v>0</v>
      </c>
      <c r="R70">
        <f t="shared" si="4"/>
        <v>0</v>
      </c>
      <c r="S70">
        <f t="shared" si="5"/>
        <v>0</v>
      </c>
      <c r="T70">
        <f t="shared" si="6"/>
        <v>0</v>
      </c>
      <c r="U70">
        <f t="shared" si="7"/>
        <v>0</v>
      </c>
    </row>
    <row r="71" spans="1:24" x14ac:dyDescent="0.25">
      <c r="A71">
        <v>43070</v>
      </c>
      <c r="B71">
        <v>54</v>
      </c>
      <c r="C71">
        <v>0</v>
      </c>
      <c r="D71">
        <v>0</v>
      </c>
      <c r="E71">
        <v>0</v>
      </c>
      <c r="F71">
        <f>VLOOKUP(A71,[1]SE_SUMMIT_2032_US40!$A:$Y,23,FALSE)</f>
        <v>54</v>
      </c>
      <c r="G71">
        <f>VLOOKUP(A71,[1]SE_SUMMIT_2032_US40!$A:$Y,24,FALSE)</f>
        <v>0</v>
      </c>
      <c r="H71">
        <f>VLOOKUP(A71,[1]SE_SUMMIT_2032_US40!$A:$Y,25,FALSE)</f>
        <v>0</v>
      </c>
      <c r="I71">
        <f>VLOOKUP(A71,[1]SE_SUMMIT_2032_US40!$A:$Z,26,FALSE)</f>
        <v>0</v>
      </c>
      <c r="J71">
        <f>VLOOKUP(A71,[2]SE_SUMMIT_2042_US40!$A:$Y,23,FALSE)</f>
        <v>54</v>
      </c>
      <c r="K71">
        <f>VLOOKUP(A71,[2]SE_SUMMIT_2042_US40!$A:$Y,24,FALSE)</f>
        <v>0</v>
      </c>
      <c r="L71">
        <f>VLOOKUP(A71,[2]SE_SUMMIT_2042_US40!$A:$Y,25,FALSE)</f>
        <v>0</v>
      </c>
      <c r="M71">
        <f>VLOOKUP(A71,[2]SE_SUMMIT_2042_US40!$A:$Z,26,FALSE)</f>
        <v>0</v>
      </c>
      <c r="N71">
        <f>VLOOKUP(A71,[3]SE_SUMMIT_2050_US40_Richardson_!$A:$Y,23,FALSE)</f>
        <v>54</v>
      </c>
      <c r="O71">
        <f>VLOOKUP(A71,[3]SE_SUMMIT_2050_US40_Richardson_!$A:$Y,24,FALSE)</f>
        <v>0</v>
      </c>
      <c r="P71">
        <f>VLOOKUP(A71,[3]SE_SUMMIT_2050_US40_Richardson_!$A:$Y,25,FALSE)</f>
        <v>0</v>
      </c>
      <c r="Q71">
        <f>VLOOKUP(A71,[3]SE_SUMMIT_2050_US40_Richardson_!$A:$Z,26,FALSE)</f>
        <v>0</v>
      </c>
      <c r="R71">
        <f t="shared" si="4"/>
        <v>0</v>
      </c>
      <c r="S71">
        <f t="shared" si="5"/>
        <v>0</v>
      </c>
      <c r="T71">
        <f t="shared" si="6"/>
        <v>0</v>
      </c>
      <c r="U71">
        <f t="shared" si="7"/>
        <v>0</v>
      </c>
    </row>
    <row r="72" spans="1:24" x14ac:dyDescent="0.25">
      <c r="A72">
        <v>43071</v>
      </c>
      <c r="B72">
        <v>0</v>
      </c>
      <c r="C72">
        <v>0</v>
      </c>
      <c r="D72">
        <v>0</v>
      </c>
      <c r="E72">
        <v>0</v>
      </c>
      <c r="F72">
        <f>VLOOKUP(A72,[1]SE_SUMMIT_2032_US40!$A:$Y,23,FALSE)</f>
        <v>0</v>
      </c>
      <c r="G72">
        <f>VLOOKUP(A72,[1]SE_SUMMIT_2032_US40!$A:$Y,24,FALSE)</f>
        <v>0</v>
      </c>
      <c r="H72">
        <f>VLOOKUP(A72,[1]SE_SUMMIT_2032_US40!$A:$Y,25,FALSE)</f>
        <v>0</v>
      </c>
      <c r="I72">
        <f>VLOOKUP(A72,[1]SE_SUMMIT_2032_US40!$A:$Z,26,FALSE)</f>
        <v>0</v>
      </c>
      <c r="J72">
        <f>VLOOKUP(A72,[2]SE_SUMMIT_2042_US40!$A:$Y,23,FALSE)</f>
        <v>0</v>
      </c>
      <c r="K72">
        <f>VLOOKUP(A72,[2]SE_SUMMIT_2042_US40!$A:$Y,24,FALSE)</f>
        <v>0</v>
      </c>
      <c r="L72">
        <f>VLOOKUP(A72,[2]SE_SUMMIT_2042_US40!$A:$Y,25,FALSE)</f>
        <v>0</v>
      </c>
      <c r="M72">
        <f>VLOOKUP(A72,[2]SE_SUMMIT_2042_US40!$A:$Z,26,FALSE)</f>
        <v>0</v>
      </c>
      <c r="N72">
        <f>VLOOKUP(A72,[3]SE_SUMMIT_2050_US40_Richardson_!$A:$Y,23,FALSE)</f>
        <v>0</v>
      </c>
      <c r="O72">
        <f>VLOOKUP(A72,[3]SE_SUMMIT_2050_US40_Richardson_!$A:$Y,24,FALSE)</f>
        <v>0</v>
      </c>
      <c r="P72">
        <f>VLOOKUP(A72,[3]SE_SUMMIT_2050_US40_Richardson_!$A:$Y,25,FALSE)</f>
        <v>0</v>
      </c>
      <c r="Q72">
        <f>VLOOKUP(A72,[3]SE_SUMMIT_2050_US40_Richardson_!$A:$Z,26,FALSE)</f>
        <v>0</v>
      </c>
      <c r="R72">
        <f t="shared" si="4"/>
        <v>0</v>
      </c>
      <c r="S72">
        <f t="shared" si="5"/>
        <v>0</v>
      </c>
      <c r="T72">
        <f t="shared" si="6"/>
        <v>0</v>
      </c>
      <c r="U72">
        <f t="shared" si="7"/>
        <v>0</v>
      </c>
    </row>
    <row r="73" spans="1:24" x14ac:dyDescent="0.25">
      <c r="A73">
        <v>43072</v>
      </c>
      <c r="B73">
        <v>55</v>
      </c>
      <c r="C73">
        <v>0</v>
      </c>
      <c r="D73">
        <v>0</v>
      </c>
      <c r="E73">
        <v>0</v>
      </c>
      <c r="F73">
        <f>VLOOKUP(A73,[1]SE_SUMMIT_2032_US40!$A:$Y,23,FALSE)</f>
        <v>55</v>
      </c>
      <c r="G73">
        <f>VLOOKUP(A73,[1]SE_SUMMIT_2032_US40!$A:$Y,24,FALSE)</f>
        <v>0</v>
      </c>
      <c r="H73">
        <f>VLOOKUP(A73,[1]SE_SUMMIT_2032_US40!$A:$Y,25,FALSE)</f>
        <v>0</v>
      </c>
      <c r="I73">
        <f>VLOOKUP(A73,[1]SE_SUMMIT_2032_US40!$A:$Z,26,FALSE)</f>
        <v>0</v>
      </c>
      <c r="J73">
        <f>VLOOKUP(A73,[2]SE_SUMMIT_2042_US40!$A:$Y,23,FALSE)</f>
        <v>55</v>
      </c>
      <c r="K73">
        <f>VLOOKUP(A73,[2]SE_SUMMIT_2042_US40!$A:$Y,24,FALSE)</f>
        <v>0</v>
      </c>
      <c r="L73">
        <f>VLOOKUP(A73,[2]SE_SUMMIT_2042_US40!$A:$Y,25,FALSE)</f>
        <v>0</v>
      </c>
      <c r="M73">
        <f>VLOOKUP(A73,[2]SE_SUMMIT_2042_US40!$A:$Z,26,FALSE)</f>
        <v>0</v>
      </c>
      <c r="N73">
        <f>VLOOKUP(A73,[3]SE_SUMMIT_2050_US40_Richardson_!$A:$Y,23,FALSE)</f>
        <v>55</v>
      </c>
      <c r="O73">
        <f>VLOOKUP(A73,[3]SE_SUMMIT_2050_US40_Richardson_!$A:$Y,24,FALSE)</f>
        <v>0</v>
      </c>
      <c r="P73">
        <f>VLOOKUP(A73,[3]SE_SUMMIT_2050_US40_Richardson_!$A:$Y,25,FALSE)</f>
        <v>0</v>
      </c>
      <c r="Q73">
        <f>VLOOKUP(A73,[3]SE_SUMMIT_2050_US40_Richardson_!$A:$Z,26,FALSE)</f>
        <v>0</v>
      </c>
      <c r="R73">
        <f t="shared" si="4"/>
        <v>0</v>
      </c>
      <c r="S73">
        <f t="shared" si="5"/>
        <v>0</v>
      </c>
      <c r="T73">
        <f t="shared" si="6"/>
        <v>0</v>
      </c>
      <c r="U73">
        <f t="shared" si="7"/>
        <v>0</v>
      </c>
    </row>
    <row r="74" spans="1:24" x14ac:dyDescent="0.25">
      <c r="A74">
        <v>43073</v>
      </c>
      <c r="B74">
        <v>48</v>
      </c>
      <c r="C74">
        <v>0</v>
      </c>
      <c r="D74">
        <v>0</v>
      </c>
      <c r="E74">
        <v>125</v>
      </c>
      <c r="F74">
        <f>VLOOKUP(A74,[1]SE_SUMMIT_2032_US40!$A:$Y,23,FALSE)</f>
        <v>48</v>
      </c>
      <c r="G74">
        <f>VLOOKUP(A74,[1]SE_SUMMIT_2032_US40!$A:$Y,24,FALSE)</f>
        <v>0</v>
      </c>
      <c r="H74">
        <f>VLOOKUP(A74,[1]SE_SUMMIT_2032_US40!$A:$Y,25,FALSE)</f>
        <v>0</v>
      </c>
      <c r="I74">
        <f>VLOOKUP(A74,[1]SE_SUMMIT_2032_US40!$A:$Z,26,FALSE)</f>
        <v>125</v>
      </c>
      <c r="J74">
        <f>VLOOKUP(A74,[2]SE_SUMMIT_2042_US40!$A:$Y,23,FALSE)</f>
        <v>48</v>
      </c>
      <c r="K74">
        <f>VLOOKUP(A74,[2]SE_SUMMIT_2042_US40!$A:$Y,24,FALSE)</f>
        <v>0</v>
      </c>
      <c r="L74">
        <f>VLOOKUP(A74,[2]SE_SUMMIT_2042_US40!$A:$Y,25,FALSE)</f>
        <v>0</v>
      </c>
      <c r="M74">
        <f>VLOOKUP(A74,[2]SE_SUMMIT_2042_US40!$A:$Z,26,FALSE)</f>
        <v>125</v>
      </c>
      <c r="N74">
        <f>VLOOKUP(A74,[3]SE_SUMMIT_2050_US40_Richardson_!$A:$Y,23,FALSE)</f>
        <v>48</v>
      </c>
      <c r="O74">
        <f>VLOOKUP(A74,[3]SE_SUMMIT_2050_US40_Richardson_!$A:$Y,24,FALSE)</f>
        <v>0</v>
      </c>
      <c r="P74">
        <f>VLOOKUP(A74,[3]SE_SUMMIT_2050_US40_Richardson_!$A:$Y,25,FALSE)</f>
        <v>0</v>
      </c>
      <c r="Q74">
        <f>VLOOKUP(A74,[3]SE_SUMMIT_2050_US40_Richardson_!$A:$Z,26,FALSE)</f>
        <v>125</v>
      </c>
      <c r="R74">
        <f t="shared" si="4"/>
        <v>0</v>
      </c>
      <c r="S74">
        <f t="shared" si="5"/>
        <v>0</v>
      </c>
      <c r="T74">
        <f t="shared" si="6"/>
        <v>0</v>
      </c>
      <c r="U74">
        <f t="shared" si="7"/>
        <v>0</v>
      </c>
    </row>
    <row r="75" spans="1:24" x14ac:dyDescent="0.25">
      <c r="A75">
        <v>43074</v>
      </c>
      <c r="B75">
        <v>14</v>
      </c>
      <c r="C75">
        <v>0</v>
      </c>
      <c r="D75">
        <v>0</v>
      </c>
      <c r="E75">
        <v>0</v>
      </c>
      <c r="F75">
        <f>VLOOKUP(A75,[1]SE_SUMMIT_2032_US40!$A:$Y,23,FALSE)</f>
        <v>14</v>
      </c>
      <c r="G75">
        <f>VLOOKUP(A75,[1]SE_SUMMIT_2032_US40!$A:$Y,24,FALSE)</f>
        <v>0</v>
      </c>
      <c r="H75">
        <f>VLOOKUP(A75,[1]SE_SUMMIT_2032_US40!$A:$Y,25,FALSE)</f>
        <v>0</v>
      </c>
      <c r="I75">
        <f>VLOOKUP(A75,[1]SE_SUMMIT_2032_US40!$A:$Z,26,FALSE)</f>
        <v>0</v>
      </c>
      <c r="J75">
        <f>VLOOKUP(A75,[2]SE_SUMMIT_2042_US40!$A:$Y,23,FALSE)</f>
        <v>14</v>
      </c>
      <c r="K75">
        <f>VLOOKUP(A75,[2]SE_SUMMIT_2042_US40!$A:$Y,24,FALSE)</f>
        <v>0</v>
      </c>
      <c r="L75">
        <f>VLOOKUP(A75,[2]SE_SUMMIT_2042_US40!$A:$Y,25,FALSE)</f>
        <v>0</v>
      </c>
      <c r="M75">
        <f>VLOOKUP(A75,[2]SE_SUMMIT_2042_US40!$A:$Z,26,FALSE)</f>
        <v>0</v>
      </c>
      <c r="N75">
        <f>VLOOKUP(A75,[3]SE_SUMMIT_2050_US40_Richardson_!$A:$Y,23,FALSE)</f>
        <v>14</v>
      </c>
      <c r="O75">
        <f>VLOOKUP(A75,[3]SE_SUMMIT_2050_US40_Richardson_!$A:$Y,24,FALSE)</f>
        <v>0</v>
      </c>
      <c r="P75">
        <f>VLOOKUP(A75,[3]SE_SUMMIT_2050_US40_Richardson_!$A:$Y,25,FALSE)</f>
        <v>0</v>
      </c>
      <c r="Q75">
        <f>VLOOKUP(A75,[3]SE_SUMMIT_2050_US40_Richardson_!$A:$Z,26,FALSE)</f>
        <v>0</v>
      </c>
      <c r="R75">
        <f t="shared" si="4"/>
        <v>0</v>
      </c>
      <c r="S75">
        <f t="shared" si="5"/>
        <v>0</v>
      </c>
      <c r="T75">
        <f t="shared" si="6"/>
        <v>0</v>
      </c>
      <c r="U75">
        <f t="shared" si="7"/>
        <v>0</v>
      </c>
    </row>
    <row r="76" spans="1:24" x14ac:dyDescent="0.25">
      <c r="A76">
        <v>43075</v>
      </c>
      <c r="B76">
        <v>14</v>
      </c>
      <c r="C76">
        <v>0</v>
      </c>
      <c r="D76">
        <v>0</v>
      </c>
      <c r="E76">
        <v>0</v>
      </c>
      <c r="F76">
        <f>VLOOKUP(A76,[1]SE_SUMMIT_2032_US40!$A:$Y,23,FALSE)</f>
        <v>14</v>
      </c>
      <c r="G76">
        <f>VLOOKUP(A76,[1]SE_SUMMIT_2032_US40!$A:$Y,24,FALSE)</f>
        <v>0</v>
      </c>
      <c r="H76">
        <f>VLOOKUP(A76,[1]SE_SUMMIT_2032_US40!$A:$Y,25,FALSE)</f>
        <v>0</v>
      </c>
      <c r="I76">
        <f>VLOOKUP(A76,[1]SE_SUMMIT_2032_US40!$A:$Z,26,FALSE)</f>
        <v>0</v>
      </c>
      <c r="J76">
        <f>VLOOKUP(A76,[2]SE_SUMMIT_2042_US40!$A:$Y,23,FALSE)</f>
        <v>14</v>
      </c>
      <c r="K76">
        <f>VLOOKUP(A76,[2]SE_SUMMIT_2042_US40!$A:$Y,24,FALSE)</f>
        <v>0</v>
      </c>
      <c r="L76">
        <f>VLOOKUP(A76,[2]SE_SUMMIT_2042_US40!$A:$Y,25,FALSE)</f>
        <v>0</v>
      </c>
      <c r="M76">
        <f>VLOOKUP(A76,[2]SE_SUMMIT_2042_US40!$A:$Z,26,FALSE)</f>
        <v>0</v>
      </c>
      <c r="N76">
        <f>VLOOKUP(A76,[3]SE_SUMMIT_2050_US40_Richardson_!$A:$Y,23,FALSE)</f>
        <v>14</v>
      </c>
      <c r="O76">
        <f>VLOOKUP(A76,[3]SE_SUMMIT_2050_US40_Richardson_!$A:$Y,24,FALSE)</f>
        <v>0</v>
      </c>
      <c r="P76">
        <f>VLOOKUP(A76,[3]SE_SUMMIT_2050_US40_Richardson_!$A:$Y,25,FALSE)</f>
        <v>0</v>
      </c>
      <c r="Q76">
        <f>VLOOKUP(A76,[3]SE_SUMMIT_2050_US40_Richardson_!$A:$Z,26,FALSE)</f>
        <v>0</v>
      </c>
      <c r="R76">
        <f t="shared" si="4"/>
        <v>0</v>
      </c>
      <c r="S76">
        <f t="shared" si="5"/>
        <v>0</v>
      </c>
      <c r="T76">
        <f t="shared" si="6"/>
        <v>0</v>
      </c>
      <c r="U76">
        <f t="shared" si="7"/>
        <v>0</v>
      </c>
    </row>
    <row r="77" spans="1:24" x14ac:dyDescent="0.25">
      <c r="A77">
        <v>43076</v>
      </c>
      <c r="B77">
        <v>12</v>
      </c>
      <c r="C77">
        <v>0</v>
      </c>
      <c r="D77">
        <v>0</v>
      </c>
      <c r="E77">
        <v>0</v>
      </c>
      <c r="F77">
        <f>VLOOKUP(A77,[1]SE_SUMMIT_2032_US40!$A:$Y,23,FALSE)</f>
        <v>12</v>
      </c>
      <c r="G77">
        <f>VLOOKUP(A77,[1]SE_SUMMIT_2032_US40!$A:$Y,24,FALSE)</f>
        <v>0</v>
      </c>
      <c r="H77">
        <f>VLOOKUP(A77,[1]SE_SUMMIT_2032_US40!$A:$Y,25,FALSE)</f>
        <v>0</v>
      </c>
      <c r="I77">
        <f>VLOOKUP(A77,[1]SE_SUMMIT_2032_US40!$A:$Z,26,FALSE)</f>
        <v>0</v>
      </c>
      <c r="J77">
        <f>VLOOKUP(A77,[2]SE_SUMMIT_2042_US40!$A:$Y,23,FALSE)</f>
        <v>12</v>
      </c>
      <c r="K77">
        <f>VLOOKUP(A77,[2]SE_SUMMIT_2042_US40!$A:$Y,24,FALSE)</f>
        <v>0</v>
      </c>
      <c r="L77">
        <f>VLOOKUP(A77,[2]SE_SUMMIT_2042_US40!$A:$Y,25,FALSE)</f>
        <v>0</v>
      </c>
      <c r="M77">
        <f>VLOOKUP(A77,[2]SE_SUMMIT_2042_US40!$A:$Z,26,FALSE)</f>
        <v>0</v>
      </c>
      <c r="N77">
        <f>VLOOKUP(A77,[3]SE_SUMMIT_2050_US40_Richardson_!$A:$Y,23,FALSE)</f>
        <v>12</v>
      </c>
      <c r="O77">
        <f>VLOOKUP(A77,[3]SE_SUMMIT_2050_US40_Richardson_!$A:$Y,24,FALSE)</f>
        <v>0</v>
      </c>
      <c r="P77">
        <f>VLOOKUP(A77,[3]SE_SUMMIT_2050_US40_Richardson_!$A:$Y,25,FALSE)</f>
        <v>0</v>
      </c>
      <c r="Q77">
        <f>VLOOKUP(A77,[3]SE_SUMMIT_2050_US40_Richardson_!$A:$Z,26,FALSE)</f>
        <v>0</v>
      </c>
      <c r="R77">
        <f t="shared" si="4"/>
        <v>0</v>
      </c>
      <c r="S77">
        <f t="shared" si="5"/>
        <v>0</v>
      </c>
      <c r="T77">
        <f t="shared" si="6"/>
        <v>0</v>
      </c>
      <c r="U77">
        <f t="shared" si="7"/>
        <v>0</v>
      </c>
    </row>
    <row r="78" spans="1:24" x14ac:dyDescent="0.25">
      <c r="A78">
        <v>43077</v>
      </c>
      <c r="B78">
        <v>0</v>
      </c>
      <c r="C78">
        <v>0</v>
      </c>
      <c r="D78">
        <v>0</v>
      </c>
      <c r="E78">
        <v>0</v>
      </c>
      <c r="F78">
        <f>VLOOKUP(A78,[1]SE_SUMMIT_2032_US40!$A:$Y,23,FALSE)</f>
        <v>0</v>
      </c>
      <c r="G78">
        <f>VLOOKUP(A78,[1]SE_SUMMIT_2032_US40!$A:$Y,24,FALSE)</f>
        <v>0</v>
      </c>
      <c r="H78">
        <f>VLOOKUP(A78,[1]SE_SUMMIT_2032_US40!$A:$Y,25,FALSE)</f>
        <v>0</v>
      </c>
      <c r="I78">
        <f>VLOOKUP(A78,[1]SE_SUMMIT_2032_US40!$A:$Z,26,FALSE)</f>
        <v>0</v>
      </c>
      <c r="J78">
        <f>VLOOKUP(A78,[2]SE_SUMMIT_2042_US40!$A:$Y,23,FALSE)</f>
        <v>0</v>
      </c>
      <c r="K78">
        <f>VLOOKUP(A78,[2]SE_SUMMIT_2042_US40!$A:$Y,24,FALSE)</f>
        <v>0</v>
      </c>
      <c r="L78">
        <f>VLOOKUP(A78,[2]SE_SUMMIT_2042_US40!$A:$Y,25,FALSE)</f>
        <v>0</v>
      </c>
      <c r="M78">
        <f>VLOOKUP(A78,[2]SE_SUMMIT_2042_US40!$A:$Z,26,FALSE)</f>
        <v>0</v>
      </c>
      <c r="N78">
        <f>VLOOKUP(A78,[3]SE_SUMMIT_2050_US40_Richardson_!$A:$Y,23,FALSE)</f>
        <v>0</v>
      </c>
      <c r="O78">
        <f>VLOOKUP(A78,[3]SE_SUMMIT_2050_US40_Richardson_!$A:$Y,24,FALSE)</f>
        <v>0</v>
      </c>
      <c r="P78">
        <f>VLOOKUP(A78,[3]SE_SUMMIT_2050_US40_Richardson_!$A:$Y,25,FALSE)</f>
        <v>0</v>
      </c>
      <c r="Q78">
        <f>VLOOKUP(A78,[3]SE_SUMMIT_2050_US40_Richardson_!$A:$Z,26,FALSE)</f>
        <v>0</v>
      </c>
      <c r="R78">
        <f t="shared" si="4"/>
        <v>0</v>
      </c>
      <c r="S78">
        <f t="shared" si="5"/>
        <v>0</v>
      </c>
      <c r="T78">
        <f t="shared" si="6"/>
        <v>0</v>
      </c>
      <c r="U78">
        <f t="shared" si="7"/>
        <v>0</v>
      </c>
    </row>
    <row r="79" spans="1:24" x14ac:dyDescent="0.25">
      <c r="A79">
        <v>43078</v>
      </c>
      <c r="B79">
        <v>0</v>
      </c>
      <c r="C79">
        <v>0</v>
      </c>
      <c r="D79">
        <v>0</v>
      </c>
      <c r="E79">
        <v>0</v>
      </c>
      <c r="F79">
        <f>VLOOKUP(A79,[1]SE_SUMMIT_2032_US40!$A:$Y,23,FALSE)</f>
        <v>0</v>
      </c>
      <c r="G79">
        <f>VLOOKUP(A79,[1]SE_SUMMIT_2032_US40!$A:$Y,24,FALSE)</f>
        <v>0</v>
      </c>
      <c r="H79">
        <f>VLOOKUP(A79,[1]SE_SUMMIT_2032_US40!$A:$Y,25,FALSE)</f>
        <v>0</v>
      </c>
      <c r="I79">
        <f>VLOOKUP(A79,[1]SE_SUMMIT_2032_US40!$A:$Z,26,FALSE)</f>
        <v>0</v>
      </c>
      <c r="J79">
        <f>VLOOKUP(A79,[2]SE_SUMMIT_2042_US40!$A:$Y,23,FALSE)</f>
        <v>0</v>
      </c>
      <c r="K79">
        <f>VLOOKUP(A79,[2]SE_SUMMIT_2042_US40!$A:$Y,24,FALSE)</f>
        <v>0</v>
      </c>
      <c r="L79">
        <f>VLOOKUP(A79,[2]SE_SUMMIT_2042_US40!$A:$Y,25,FALSE)</f>
        <v>0</v>
      </c>
      <c r="M79">
        <f>VLOOKUP(A79,[2]SE_SUMMIT_2042_US40!$A:$Z,26,FALSE)</f>
        <v>0</v>
      </c>
      <c r="N79">
        <f>VLOOKUP(A79,[3]SE_SUMMIT_2050_US40_Richardson_!$A:$Y,23,FALSE)</f>
        <v>0</v>
      </c>
      <c r="O79">
        <f>VLOOKUP(A79,[3]SE_SUMMIT_2050_US40_Richardson_!$A:$Y,24,FALSE)</f>
        <v>0</v>
      </c>
      <c r="P79">
        <f>VLOOKUP(A79,[3]SE_SUMMIT_2050_US40_Richardson_!$A:$Y,25,FALSE)</f>
        <v>0</v>
      </c>
      <c r="Q79">
        <f>VLOOKUP(A79,[3]SE_SUMMIT_2050_US40_Richardson_!$A:$Z,26,FALSE)</f>
        <v>0</v>
      </c>
      <c r="R79">
        <f t="shared" si="4"/>
        <v>0</v>
      </c>
      <c r="S79">
        <f t="shared" si="5"/>
        <v>0</v>
      </c>
      <c r="T79">
        <f t="shared" si="6"/>
        <v>0</v>
      </c>
      <c r="U79">
        <f t="shared" si="7"/>
        <v>0</v>
      </c>
    </row>
    <row r="80" spans="1:24" x14ac:dyDescent="0.25">
      <c r="A80">
        <v>43079</v>
      </c>
      <c r="B80">
        <v>0</v>
      </c>
      <c r="C80">
        <v>0</v>
      </c>
      <c r="D80">
        <v>0</v>
      </c>
      <c r="E80">
        <v>0</v>
      </c>
      <c r="F80">
        <f>VLOOKUP(A80,[1]SE_SUMMIT_2032_US40!$A:$Y,23,FALSE)</f>
        <v>0</v>
      </c>
      <c r="G80">
        <f>VLOOKUP(A80,[1]SE_SUMMIT_2032_US40!$A:$Y,24,FALSE)</f>
        <v>0</v>
      </c>
      <c r="H80">
        <f>VLOOKUP(A80,[1]SE_SUMMIT_2032_US40!$A:$Y,25,FALSE)</f>
        <v>0</v>
      </c>
      <c r="I80">
        <f>VLOOKUP(A80,[1]SE_SUMMIT_2032_US40!$A:$Z,26,FALSE)</f>
        <v>0</v>
      </c>
      <c r="J80">
        <f>VLOOKUP(A80,[2]SE_SUMMIT_2042_US40!$A:$Y,23,FALSE)</f>
        <v>0</v>
      </c>
      <c r="K80">
        <f>VLOOKUP(A80,[2]SE_SUMMIT_2042_US40!$A:$Y,24,FALSE)</f>
        <v>0</v>
      </c>
      <c r="L80">
        <f>VLOOKUP(A80,[2]SE_SUMMIT_2042_US40!$A:$Y,25,FALSE)</f>
        <v>0</v>
      </c>
      <c r="M80">
        <f>VLOOKUP(A80,[2]SE_SUMMIT_2042_US40!$A:$Z,26,FALSE)</f>
        <v>0</v>
      </c>
      <c r="N80">
        <f>VLOOKUP(A80,[3]SE_SUMMIT_2050_US40_Richardson_!$A:$Y,23,FALSE)</f>
        <v>0</v>
      </c>
      <c r="O80">
        <f>VLOOKUP(A80,[3]SE_SUMMIT_2050_US40_Richardson_!$A:$Y,24,FALSE)</f>
        <v>0</v>
      </c>
      <c r="P80">
        <f>VLOOKUP(A80,[3]SE_SUMMIT_2050_US40_Richardson_!$A:$Y,25,FALSE)</f>
        <v>0</v>
      </c>
      <c r="Q80">
        <f>VLOOKUP(A80,[3]SE_SUMMIT_2050_US40_Richardson_!$A:$Z,26,FALSE)</f>
        <v>0</v>
      </c>
      <c r="R80">
        <f t="shared" si="4"/>
        <v>0</v>
      </c>
      <c r="S80">
        <f t="shared" si="5"/>
        <v>0</v>
      </c>
      <c r="T80">
        <f t="shared" si="6"/>
        <v>0</v>
      </c>
      <c r="U80">
        <f t="shared" si="7"/>
        <v>0</v>
      </c>
    </row>
    <row r="81" spans="1:21" x14ac:dyDescent="0.25">
      <c r="A81">
        <v>43080</v>
      </c>
      <c r="B81">
        <v>375</v>
      </c>
      <c r="C81">
        <v>0</v>
      </c>
      <c r="D81">
        <v>321</v>
      </c>
      <c r="E81">
        <v>0</v>
      </c>
      <c r="F81">
        <f>VLOOKUP(A81,[1]SE_SUMMIT_2032_US40!$A:$Y,23,FALSE)</f>
        <v>375</v>
      </c>
      <c r="G81">
        <f>VLOOKUP(A81,[1]SE_SUMMIT_2032_US40!$A:$Y,24,FALSE)</f>
        <v>0</v>
      </c>
      <c r="H81">
        <f>VLOOKUP(A81,[1]SE_SUMMIT_2032_US40!$A:$Y,25,FALSE)</f>
        <v>321</v>
      </c>
      <c r="I81">
        <f>VLOOKUP(A81,[1]SE_SUMMIT_2032_US40!$A:$Z,26,FALSE)</f>
        <v>0</v>
      </c>
      <c r="J81">
        <f>VLOOKUP(A81,[2]SE_SUMMIT_2042_US40!$A:$Y,23,FALSE)</f>
        <v>375</v>
      </c>
      <c r="K81">
        <f>VLOOKUP(A81,[2]SE_SUMMIT_2042_US40!$A:$Y,24,FALSE)</f>
        <v>0</v>
      </c>
      <c r="L81">
        <f>VLOOKUP(A81,[2]SE_SUMMIT_2042_US40!$A:$Y,25,FALSE)</f>
        <v>321</v>
      </c>
      <c r="M81">
        <f>VLOOKUP(A81,[2]SE_SUMMIT_2042_US40!$A:$Z,26,FALSE)</f>
        <v>0</v>
      </c>
      <c r="N81">
        <f>VLOOKUP(A81,[3]SE_SUMMIT_2050_US40_Richardson_!$A:$Y,23,FALSE)</f>
        <v>375</v>
      </c>
      <c r="O81">
        <f>VLOOKUP(A81,[3]SE_SUMMIT_2050_US40_Richardson_!$A:$Y,24,FALSE)</f>
        <v>0</v>
      </c>
      <c r="P81">
        <f>VLOOKUP(A81,[3]SE_SUMMIT_2050_US40_Richardson_!$A:$Y,25,FALSE)</f>
        <v>321</v>
      </c>
      <c r="Q81">
        <f>VLOOKUP(A81,[3]SE_SUMMIT_2050_US40_Richardson_!$A:$Z,26,FALSE)</f>
        <v>0</v>
      </c>
      <c r="R81">
        <f t="shared" si="4"/>
        <v>0</v>
      </c>
      <c r="S81">
        <f t="shared" si="5"/>
        <v>0</v>
      </c>
      <c r="T81">
        <f t="shared" si="6"/>
        <v>0</v>
      </c>
      <c r="U81">
        <f t="shared" si="7"/>
        <v>0</v>
      </c>
    </row>
    <row r="82" spans="1:21" x14ac:dyDescent="0.25">
      <c r="A82">
        <v>43081</v>
      </c>
      <c r="B82">
        <v>0</v>
      </c>
      <c r="C82">
        <v>0</v>
      </c>
      <c r="D82">
        <v>31</v>
      </c>
      <c r="E82">
        <v>154</v>
      </c>
      <c r="F82">
        <f>VLOOKUP(A82,[1]SE_SUMMIT_2032_US40!$A:$Y,23,FALSE)</f>
        <v>0</v>
      </c>
      <c r="G82">
        <f>VLOOKUP(A82,[1]SE_SUMMIT_2032_US40!$A:$Y,24,FALSE)</f>
        <v>0</v>
      </c>
      <c r="H82">
        <f>VLOOKUP(A82,[1]SE_SUMMIT_2032_US40!$A:$Y,25,FALSE)</f>
        <v>31</v>
      </c>
      <c r="I82">
        <f>VLOOKUP(A82,[1]SE_SUMMIT_2032_US40!$A:$Z,26,FALSE)</f>
        <v>154</v>
      </c>
      <c r="J82">
        <f>VLOOKUP(A82,[2]SE_SUMMIT_2042_US40!$A:$Y,23,FALSE)</f>
        <v>0</v>
      </c>
      <c r="K82">
        <f>VLOOKUP(A82,[2]SE_SUMMIT_2042_US40!$A:$Y,24,FALSE)</f>
        <v>0</v>
      </c>
      <c r="L82">
        <f>VLOOKUP(A82,[2]SE_SUMMIT_2042_US40!$A:$Y,25,FALSE)</f>
        <v>31</v>
      </c>
      <c r="M82">
        <f>VLOOKUP(A82,[2]SE_SUMMIT_2042_US40!$A:$Z,26,FALSE)</f>
        <v>154</v>
      </c>
      <c r="N82">
        <f>VLOOKUP(A82,[3]SE_SUMMIT_2050_US40_Richardson_!$A:$Y,23,FALSE)</f>
        <v>0</v>
      </c>
      <c r="O82">
        <f>VLOOKUP(A82,[3]SE_SUMMIT_2050_US40_Richardson_!$A:$Y,24,FALSE)</f>
        <v>0</v>
      </c>
      <c r="P82">
        <f>VLOOKUP(A82,[3]SE_SUMMIT_2050_US40_Richardson_!$A:$Y,25,FALSE)</f>
        <v>31</v>
      </c>
      <c r="Q82">
        <f>VLOOKUP(A82,[3]SE_SUMMIT_2050_US40_Richardson_!$A:$Z,26,FALSE)</f>
        <v>154</v>
      </c>
      <c r="R82">
        <f t="shared" si="4"/>
        <v>0</v>
      </c>
      <c r="S82">
        <f t="shared" si="5"/>
        <v>0</v>
      </c>
      <c r="T82">
        <f t="shared" si="6"/>
        <v>0</v>
      </c>
      <c r="U82">
        <f t="shared" si="7"/>
        <v>0</v>
      </c>
    </row>
    <row r="83" spans="1:21" x14ac:dyDescent="0.25">
      <c r="A83">
        <v>43082</v>
      </c>
      <c r="B83">
        <v>0</v>
      </c>
      <c r="C83">
        <v>0</v>
      </c>
      <c r="D83">
        <v>14</v>
      </c>
      <c r="E83">
        <v>0</v>
      </c>
      <c r="F83">
        <f>VLOOKUP(A83,[1]SE_SUMMIT_2032_US40!$A:$Y,23,FALSE)</f>
        <v>0</v>
      </c>
      <c r="G83">
        <f>VLOOKUP(A83,[1]SE_SUMMIT_2032_US40!$A:$Y,24,FALSE)</f>
        <v>0</v>
      </c>
      <c r="H83">
        <f>VLOOKUP(A83,[1]SE_SUMMIT_2032_US40!$A:$Y,25,FALSE)</f>
        <v>14</v>
      </c>
      <c r="I83">
        <f>VLOOKUP(A83,[1]SE_SUMMIT_2032_US40!$A:$Z,26,FALSE)</f>
        <v>0</v>
      </c>
      <c r="J83">
        <f>VLOOKUP(A83,[2]SE_SUMMIT_2042_US40!$A:$Y,23,FALSE)</f>
        <v>0</v>
      </c>
      <c r="K83">
        <f>VLOOKUP(A83,[2]SE_SUMMIT_2042_US40!$A:$Y,24,FALSE)</f>
        <v>0</v>
      </c>
      <c r="L83">
        <f>VLOOKUP(A83,[2]SE_SUMMIT_2042_US40!$A:$Y,25,FALSE)</f>
        <v>14</v>
      </c>
      <c r="M83">
        <f>VLOOKUP(A83,[2]SE_SUMMIT_2042_US40!$A:$Z,26,FALSE)</f>
        <v>0</v>
      </c>
      <c r="N83">
        <f>VLOOKUP(A83,[3]SE_SUMMIT_2050_US40_Richardson_!$A:$Y,23,FALSE)</f>
        <v>0</v>
      </c>
      <c r="O83">
        <f>VLOOKUP(A83,[3]SE_SUMMIT_2050_US40_Richardson_!$A:$Y,24,FALSE)</f>
        <v>0</v>
      </c>
      <c r="P83">
        <f>VLOOKUP(A83,[3]SE_SUMMIT_2050_US40_Richardson_!$A:$Y,25,FALSE)</f>
        <v>14</v>
      </c>
      <c r="Q83">
        <f>VLOOKUP(A83,[3]SE_SUMMIT_2050_US40_Richardson_!$A:$Z,26,FALSE)</f>
        <v>0</v>
      </c>
      <c r="R83">
        <f t="shared" si="4"/>
        <v>0</v>
      </c>
      <c r="S83">
        <f t="shared" si="5"/>
        <v>0</v>
      </c>
      <c r="T83">
        <f t="shared" si="6"/>
        <v>0</v>
      </c>
      <c r="U83">
        <f t="shared" si="7"/>
        <v>0</v>
      </c>
    </row>
    <row r="84" spans="1:21" x14ac:dyDescent="0.25">
      <c r="A84">
        <v>43083</v>
      </c>
      <c r="B84">
        <v>0</v>
      </c>
      <c r="C84">
        <v>0</v>
      </c>
      <c r="D84">
        <v>325</v>
      </c>
      <c r="E84">
        <v>21</v>
      </c>
      <c r="F84">
        <f>VLOOKUP(A84,[1]SE_SUMMIT_2032_US40!$A:$Y,23,FALSE)</f>
        <v>0</v>
      </c>
      <c r="G84">
        <f>VLOOKUP(A84,[1]SE_SUMMIT_2032_US40!$A:$Y,24,FALSE)</f>
        <v>0</v>
      </c>
      <c r="H84">
        <f>VLOOKUP(A84,[1]SE_SUMMIT_2032_US40!$A:$Y,25,FALSE)</f>
        <v>325</v>
      </c>
      <c r="I84">
        <f>VLOOKUP(A84,[1]SE_SUMMIT_2032_US40!$A:$Z,26,FALSE)</f>
        <v>21</v>
      </c>
      <c r="J84">
        <f>VLOOKUP(A84,[2]SE_SUMMIT_2042_US40!$A:$Y,23,FALSE)</f>
        <v>0</v>
      </c>
      <c r="K84">
        <f>VLOOKUP(A84,[2]SE_SUMMIT_2042_US40!$A:$Y,24,FALSE)</f>
        <v>0</v>
      </c>
      <c r="L84">
        <f>VLOOKUP(A84,[2]SE_SUMMIT_2042_US40!$A:$Y,25,FALSE)</f>
        <v>325</v>
      </c>
      <c r="M84">
        <f>VLOOKUP(A84,[2]SE_SUMMIT_2042_US40!$A:$Z,26,FALSE)</f>
        <v>21</v>
      </c>
      <c r="N84">
        <f>VLOOKUP(A84,[3]SE_SUMMIT_2050_US40_Richardson_!$A:$Y,23,FALSE)</f>
        <v>0</v>
      </c>
      <c r="O84">
        <f>VLOOKUP(A84,[3]SE_SUMMIT_2050_US40_Richardson_!$A:$Y,24,FALSE)</f>
        <v>0</v>
      </c>
      <c r="P84">
        <f>VLOOKUP(A84,[3]SE_SUMMIT_2050_US40_Richardson_!$A:$Y,25,FALSE)</f>
        <v>325</v>
      </c>
      <c r="Q84">
        <f>VLOOKUP(A84,[3]SE_SUMMIT_2050_US40_Richardson_!$A:$Z,26,FALSE)</f>
        <v>21</v>
      </c>
      <c r="R84">
        <f t="shared" si="4"/>
        <v>0</v>
      </c>
      <c r="S84">
        <f t="shared" si="5"/>
        <v>0</v>
      </c>
      <c r="T84">
        <f t="shared" si="6"/>
        <v>0</v>
      </c>
      <c r="U84">
        <f t="shared" si="7"/>
        <v>0</v>
      </c>
    </row>
    <row r="85" spans="1:21" x14ac:dyDescent="0.25">
      <c r="A85">
        <v>43084</v>
      </c>
      <c r="B85">
        <v>6</v>
      </c>
      <c r="C85">
        <v>0</v>
      </c>
      <c r="D85">
        <v>0</v>
      </c>
      <c r="E85">
        <v>209</v>
      </c>
      <c r="F85">
        <f>VLOOKUP(A85,[1]SE_SUMMIT_2032_US40!$A:$Y,23,FALSE)</f>
        <v>6</v>
      </c>
      <c r="G85">
        <f>VLOOKUP(A85,[1]SE_SUMMIT_2032_US40!$A:$Y,24,FALSE)</f>
        <v>0</v>
      </c>
      <c r="H85">
        <f>VLOOKUP(A85,[1]SE_SUMMIT_2032_US40!$A:$Y,25,FALSE)</f>
        <v>0</v>
      </c>
      <c r="I85">
        <f>VLOOKUP(A85,[1]SE_SUMMIT_2032_US40!$A:$Z,26,FALSE)</f>
        <v>209</v>
      </c>
      <c r="J85">
        <f>VLOOKUP(A85,[2]SE_SUMMIT_2042_US40!$A:$Y,23,FALSE)</f>
        <v>6</v>
      </c>
      <c r="K85">
        <f>VLOOKUP(A85,[2]SE_SUMMIT_2042_US40!$A:$Y,24,FALSE)</f>
        <v>0</v>
      </c>
      <c r="L85">
        <f>VLOOKUP(A85,[2]SE_SUMMIT_2042_US40!$A:$Y,25,FALSE)</f>
        <v>0</v>
      </c>
      <c r="M85">
        <f>VLOOKUP(A85,[2]SE_SUMMIT_2042_US40!$A:$Z,26,FALSE)</f>
        <v>209</v>
      </c>
      <c r="N85">
        <f>VLOOKUP(A85,[3]SE_SUMMIT_2050_US40_Richardson_!$A:$Y,23,FALSE)</f>
        <v>6</v>
      </c>
      <c r="O85">
        <f>VLOOKUP(A85,[3]SE_SUMMIT_2050_US40_Richardson_!$A:$Y,24,FALSE)</f>
        <v>0</v>
      </c>
      <c r="P85">
        <f>VLOOKUP(A85,[3]SE_SUMMIT_2050_US40_Richardson_!$A:$Y,25,FALSE)</f>
        <v>0</v>
      </c>
      <c r="Q85">
        <f>VLOOKUP(A85,[3]SE_SUMMIT_2050_US40_Richardson_!$A:$Z,26,FALSE)</f>
        <v>209</v>
      </c>
      <c r="R85">
        <f t="shared" si="4"/>
        <v>0</v>
      </c>
      <c r="S85">
        <f t="shared" si="5"/>
        <v>0</v>
      </c>
      <c r="T85">
        <f t="shared" si="6"/>
        <v>0</v>
      </c>
      <c r="U85">
        <f t="shared" si="7"/>
        <v>0</v>
      </c>
    </row>
    <row r="86" spans="1:21" x14ac:dyDescent="0.25">
      <c r="A86">
        <v>43085</v>
      </c>
      <c r="B86">
        <v>23</v>
      </c>
      <c r="C86">
        <v>0</v>
      </c>
      <c r="D86">
        <v>216</v>
      </c>
      <c r="E86">
        <v>0</v>
      </c>
      <c r="F86">
        <f>VLOOKUP(A86,[1]SE_SUMMIT_2032_US40!$A:$Y,23,FALSE)</f>
        <v>23</v>
      </c>
      <c r="G86">
        <f>VLOOKUP(A86,[1]SE_SUMMIT_2032_US40!$A:$Y,24,FALSE)</f>
        <v>0</v>
      </c>
      <c r="H86">
        <f>VLOOKUP(A86,[1]SE_SUMMIT_2032_US40!$A:$Y,25,FALSE)</f>
        <v>216</v>
      </c>
      <c r="I86">
        <f>VLOOKUP(A86,[1]SE_SUMMIT_2032_US40!$A:$Z,26,FALSE)</f>
        <v>0</v>
      </c>
      <c r="J86">
        <f>VLOOKUP(A86,[2]SE_SUMMIT_2042_US40!$A:$Y,23,FALSE)</f>
        <v>23</v>
      </c>
      <c r="K86">
        <f>VLOOKUP(A86,[2]SE_SUMMIT_2042_US40!$A:$Y,24,FALSE)</f>
        <v>0</v>
      </c>
      <c r="L86">
        <f>VLOOKUP(A86,[2]SE_SUMMIT_2042_US40!$A:$Y,25,FALSE)</f>
        <v>216</v>
      </c>
      <c r="M86">
        <f>VLOOKUP(A86,[2]SE_SUMMIT_2042_US40!$A:$Z,26,FALSE)</f>
        <v>0</v>
      </c>
      <c r="N86">
        <f>VLOOKUP(A86,[3]SE_SUMMIT_2050_US40_Richardson_!$A:$Y,23,FALSE)</f>
        <v>23</v>
      </c>
      <c r="O86">
        <f>VLOOKUP(A86,[3]SE_SUMMIT_2050_US40_Richardson_!$A:$Y,24,FALSE)</f>
        <v>0</v>
      </c>
      <c r="P86">
        <f>VLOOKUP(A86,[3]SE_SUMMIT_2050_US40_Richardson_!$A:$Y,25,FALSE)</f>
        <v>216</v>
      </c>
      <c r="Q86">
        <f>VLOOKUP(A86,[3]SE_SUMMIT_2050_US40_Richardson_!$A:$Z,26,FALSE)</f>
        <v>0</v>
      </c>
      <c r="R86">
        <f t="shared" si="4"/>
        <v>0</v>
      </c>
      <c r="S86">
        <f t="shared" si="5"/>
        <v>0</v>
      </c>
      <c r="T86">
        <f t="shared" si="6"/>
        <v>0</v>
      </c>
      <c r="U86">
        <f t="shared" si="7"/>
        <v>0</v>
      </c>
    </row>
    <row r="87" spans="1:21" x14ac:dyDescent="0.25">
      <c r="A87">
        <v>43086</v>
      </c>
      <c r="B87">
        <v>33</v>
      </c>
      <c r="C87">
        <v>0</v>
      </c>
      <c r="D87">
        <v>0</v>
      </c>
      <c r="E87">
        <v>0</v>
      </c>
      <c r="F87">
        <f>VLOOKUP(A87,[1]SE_SUMMIT_2032_US40!$A:$Y,23,FALSE)</f>
        <v>33</v>
      </c>
      <c r="G87">
        <f>VLOOKUP(A87,[1]SE_SUMMIT_2032_US40!$A:$Y,24,FALSE)</f>
        <v>0</v>
      </c>
      <c r="H87">
        <f>VLOOKUP(A87,[1]SE_SUMMIT_2032_US40!$A:$Y,25,FALSE)</f>
        <v>0</v>
      </c>
      <c r="I87">
        <f>VLOOKUP(A87,[1]SE_SUMMIT_2032_US40!$A:$Z,26,FALSE)</f>
        <v>0</v>
      </c>
      <c r="J87">
        <f>VLOOKUP(A87,[2]SE_SUMMIT_2042_US40!$A:$Y,23,FALSE)</f>
        <v>33</v>
      </c>
      <c r="K87">
        <f>VLOOKUP(A87,[2]SE_SUMMIT_2042_US40!$A:$Y,24,FALSE)</f>
        <v>0</v>
      </c>
      <c r="L87">
        <f>VLOOKUP(A87,[2]SE_SUMMIT_2042_US40!$A:$Y,25,FALSE)</f>
        <v>0</v>
      </c>
      <c r="M87">
        <f>VLOOKUP(A87,[2]SE_SUMMIT_2042_US40!$A:$Z,26,FALSE)</f>
        <v>0</v>
      </c>
      <c r="N87">
        <f>VLOOKUP(A87,[3]SE_SUMMIT_2050_US40_Richardson_!$A:$Y,23,FALSE)</f>
        <v>33</v>
      </c>
      <c r="O87">
        <f>VLOOKUP(A87,[3]SE_SUMMIT_2050_US40_Richardson_!$A:$Y,24,FALSE)</f>
        <v>0</v>
      </c>
      <c r="P87">
        <f>VLOOKUP(A87,[3]SE_SUMMIT_2050_US40_Richardson_!$A:$Y,25,FALSE)</f>
        <v>0</v>
      </c>
      <c r="Q87">
        <f>VLOOKUP(A87,[3]SE_SUMMIT_2050_US40_Richardson_!$A:$Z,26,FALSE)</f>
        <v>0</v>
      </c>
      <c r="R87">
        <f t="shared" si="4"/>
        <v>0</v>
      </c>
      <c r="S87">
        <f t="shared" si="5"/>
        <v>0</v>
      </c>
      <c r="T87">
        <f t="shared" si="6"/>
        <v>0</v>
      </c>
      <c r="U87">
        <f t="shared" si="7"/>
        <v>0</v>
      </c>
    </row>
    <row r="88" spans="1:21" x14ac:dyDescent="0.25">
      <c r="A88">
        <v>43087</v>
      </c>
      <c r="B88">
        <v>0</v>
      </c>
      <c r="C88">
        <v>0</v>
      </c>
      <c r="D88">
        <v>34</v>
      </c>
      <c r="E88">
        <v>0</v>
      </c>
      <c r="F88">
        <f>VLOOKUP(A88,[1]SE_SUMMIT_2032_US40!$A:$Y,23,FALSE)</f>
        <v>0</v>
      </c>
      <c r="G88">
        <f>VLOOKUP(A88,[1]SE_SUMMIT_2032_US40!$A:$Y,24,FALSE)</f>
        <v>0</v>
      </c>
      <c r="H88">
        <f>VLOOKUP(A88,[1]SE_SUMMIT_2032_US40!$A:$Y,25,FALSE)</f>
        <v>34</v>
      </c>
      <c r="I88">
        <f>VLOOKUP(A88,[1]SE_SUMMIT_2032_US40!$A:$Z,26,FALSE)</f>
        <v>0</v>
      </c>
      <c r="J88">
        <f>VLOOKUP(A88,[2]SE_SUMMIT_2042_US40!$A:$Y,23,FALSE)</f>
        <v>0</v>
      </c>
      <c r="K88">
        <f>VLOOKUP(A88,[2]SE_SUMMIT_2042_US40!$A:$Y,24,FALSE)</f>
        <v>0</v>
      </c>
      <c r="L88">
        <f>VLOOKUP(A88,[2]SE_SUMMIT_2042_US40!$A:$Y,25,FALSE)</f>
        <v>34</v>
      </c>
      <c r="M88">
        <f>VLOOKUP(A88,[2]SE_SUMMIT_2042_US40!$A:$Z,26,FALSE)</f>
        <v>0</v>
      </c>
      <c r="N88">
        <f>VLOOKUP(A88,[3]SE_SUMMIT_2050_US40_Richardson_!$A:$Y,23,FALSE)</f>
        <v>0</v>
      </c>
      <c r="O88">
        <f>VLOOKUP(A88,[3]SE_SUMMIT_2050_US40_Richardson_!$A:$Y,24,FALSE)</f>
        <v>0</v>
      </c>
      <c r="P88">
        <f>VLOOKUP(A88,[3]SE_SUMMIT_2050_US40_Richardson_!$A:$Y,25,FALSE)</f>
        <v>34</v>
      </c>
      <c r="Q88">
        <f>VLOOKUP(A88,[3]SE_SUMMIT_2050_US40_Richardson_!$A:$Z,26,FALSE)</f>
        <v>0</v>
      </c>
      <c r="R88">
        <f t="shared" si="4"/>
        <v>0</v>
      </c>
      <c r="S88">
        <f t="shared" si="5"/>
        <v>0</v>
      </c>
      <c r="T88">
        <f t="shared" si="6"/>
        <v>0</v>
      </c>
      <c r="U88">
        <f t="shared" si="7"/>
        <v>0</v>
      </c>
    </row>
    <row r="89" spans="1:21" x14ac:dyDescent="0.25">
      <c r="A89">
        <v>43088</v>
      </c>
      <c r="B89">
        <v>0</v>
      </c>
      <c r="C89">
        <v>0</v>
      </c>
      <c r="D89">
        <v>0</v>
      </c>
      <c r="E89">
        <v>0</v>
      </c>
      <c r="F89">
        <f>VLOOKUP(A89,[1]SE_SUMMIT_2032_US40!$A:$Y,23,FALSE)</f>
        <v>0</v>
      </c>
      <c r="G89">
        <f>VLOOKUP(A89,[1]SE_SUMMIT_2032_US40!$A:$Y,24,FALSE)</f>
        <v>0</v>
      </c>
      <c r="H89">
        <f>VLOOKUP(A89,[1]SE_SUMMIT_2032_US40!$A:$Y,25,FALSE)</f>
        <v>0</v>
      </c>
      <c r="I89">
        <f>VLOOKUP(A89,[1]SE_SUMMIT_2032_US40!$A:$Z,26,FALSE)</f>
        <v>0</v>
      </c>
      <c r="J89">
        <f>VLOOKUP(A89,[2]SE_SUMMIT_2042_US40!$A:$Y,23,FALSE)</f>
        <v>0</v>
      </c>
      <c r="K89">
        <f>VLOOKUP(A89,[2]SE_SUMMIT_2042_US40!$A:$Y,24,FALSE)</f>
        <v>0</v>
      </c>
      <c r="L89">
        <f>VLOOKUP(A89,[2]SE_SUMMIT_2042_US40!$A:$Y,25,FALSE)</f>
        <v>0</v>
      </c>
      <c r="M89">
        <f>VLOOKUP(A89,[2]SE_SUMMIT_2042_US40!$A:$Z,26,FALSE)</f>
        <v>0</v>
      </c>
      <c r="N89">
        <f>VLOOKUP(A89,[3]SE_SUMMIT_2050_US40_Richardson_!$A:$Y,23,FALSE)</f>
        <v>0</v>
      </c>
      <c r="O89">
        <f>VLOOKUP(A89,[3]SE_SUMMIT_2050_US40_Richardson_!$A:$Y,24,FALSE)</f>
        <v>0</v>
      </c>
      <c r="P89">
        <f>VLOOKUP(A89,[3]SE_SUMMIT_2050_US40_Richardson_!$A:$Y,25,FALSE)</f>
        <v>0</v>
      </c>
      <c r="Q89">
        <f>VLOOKUP(A89,[3]SE_SUMMIT_2050_US40_Richardson_!$A:$Z,26,FALSE)</f>
        <v>0</v>
      </c>
      <c r="R89">
        <f t="shared" si="4"/>
        <v>0</v>
      </c>
      <c r="S89">
        <f t="shared" si="5"/>
        <v>0</v>
      </c>
      <c r="T89">
        <f t="shared" si="6"/>
        <v>0</v>
      </c>
      <c r="U89">
        <f t="shared" si="7"/>
        <v>0</v>
      </c>
    </row>
    <row r="90" spans="1:21" x14ac:dyDescent="0.25">
      <c r="A90">
        <v>43089</v>
      </c>
      <c r="B90">
        <v>0</v>
      </c>
      <c r="C90">
        <v>0</v>
      </c>
      <c r="D90">
        <v>98</v>
      </c>
      <c r="E90">
        <v>0</v>
      </c>
      <c r="F90">
        <f>VLOOKUP(A90,[1]SE_SUMMIT_2032_US40!$A:$Y,23,FALSE)</f>
        <v>0</v>
      </c>
      <c r="G90">
        <f>VLOOKUP(A90,[1]SE_SUMMIT_2032_US40!$A:$Y,24,FALSE)</f>
        <v>0</v>
      </c>
      <c r="H90">
        <f>VLOOKUP(A90,[1]SE_SUMMIT_2032_US40!$A:$Y,25,FALSE)</f>
        <v>98</v>
      </c>
      <c r="I90">
        <f>VLOOKUP(A90,[1]SE_SUMMIT_2032_US40!$A:$Z,26,FALSE)</f>
        <v>0</v>
      </c>
      <c r="J90">
        <f>VLOOKUP(A90,[2]SE_SUMMIT_2042_US40!$A:$Y,23,FALSE)</f>
        <v>0</v>
      </c>
      <c r="K90">
        <f>VLOOKUP(A90,[2]SE_SUMMIT_2042_US40!$A:$Y,24,FALSE)</f>
        <v>0</v>
      </c>
      <c r="L90">
        <f>VLOOKUP(A90,[2]SE_SUMMIT_2042_US40!$A:$Y,25,FALSE)</f>
        <v>98</v>
      </c>
      <c r="M90">
        <f>VLOOKUP(A90,[2]SE_SUMMIT_2042_US40!$A:$Z,26,FALSE)</f>
        <v>0</v>
      </c>
      <c r="N90">
        <f>VLOOKUP(A90,[3]SE_SUMMIT_2050_US40_Richardson_!$A:$Y,23,FALSE)</f>
        <v>0</v>
      </c>
      <c r="O90">
        <f>VLOOKUP(A90,[3]SE_SUMMIT_2050_US40_Richardson_!$A:$Y,24,FALSE)</f>
        <v>0</v>
      </c>
      <c r="P90">
        <f>VLOOKUP(A90,[3]SE_SUMMIT_2050_US40_Richardson_!$A:$Y,25,FALSE)</f>
        <v>98</v>
      </c>
      <c r="Q90">
        <f>VLOOKUP(A90,[3]SE_SUMMIT_2050_US40_Richardson_!$A:$Z,26,FALSE)</f>
        <v>0</v>
      </c>
      <c r="R90">
        <f t="shared" si="4"/>
        <v>0</v>
      </c>
      <c r="S90">
        <f t="shared" si="5"/>
        <v>0</v>
      </c>
      <c r="T90">
        <f t="shared" si="6"/>
        <v>0</v>
      </c>
      <c r="U90">
        <f t="shared" si="7"/>
        <v>0</v>
      </c>
    </row>
    <row r="91" spans="1:21" x14ac:dyDescent="0.25">
      <c r="A91">
        <v>43090</v>
      </c>
      <c r="B91">
        <v>0</v>
      </c>
      <c r="C91">
        <v>0</v>
      </c>
      <c r="D91">
        <v>17</v>
      </c>
      <c r="E91">
        <v>0</v>
      </c>
      <c r="F91">
        <f>VLOOKUP(A91,[1]SE_SUMMIT_2032_US40!$A:$Y,23,FALSE)</f>
        <v>0</v>
      </c>
      <c r="G91">
        <f>VLOOKUP(A91,[1]SE_SUMMIT_2032_US40!$A:$Y,24,FALSE)</f>
        <v>0</v>
      </c>
      <c r="H91">
        <f>VLOOKUP(A91,[1]SE_SUMMIT_2032_US40!$A:$Y,25,FALSE)</f>
        <v>17</v>
      </c>
      <c r="I91">
        <f>VLOOKUP(A91,[1]SE_SUMMIT_2032_US40!$A:$Z,26,FALSE)</f>
        <v>0</v>
      </c>
      <c r="J91">
        <f>VLOOKUP(A91,[2]SE_SUMMIT_2042_US40!$A:$Y,23,FALSE)</f>
        <v>0</v>
      </c>
      <c r="K91">
        <f>VLOOKUP(A91,[2]SE_SUMMIT_2042_US40!$A:$Y,24,FALSE)</f>
        <v>0</v>
      </c>
      <c r="L91">
        <f>VLOOKUP(A91,[2]SE_SUMMIT_2042_US40!$A:$Y,25,FALSE)</f>
        <v>17</v>
      </c>
      <c r="M91">
        <f>VLOOKUP(A91,[2]SE_SUMMIT_2042_US40!$A:$Z,26,FALSE)</f>
        <v>0</v>
      </c>
      <c r="N91">
        <f>VLOOKUP(A91,[3]SE_SUMMIT_2050_US40_Richardson_!$A:$Y,23,FALSE)</f>
        <v>0</v>
      </c>
      <c r="O91">
        <f>VLOOKUP(A91,[3]SE_SUMMIT_2050_US40_Richardson_!$A:$Y,24,FALSE)</f>
        <v>0</v>
      </c>
      <c r="P91">
        <f>VLOOKUP(A91,[3]SE_SUMMIT_2050_US40_Richardson_!$A:$Y,25,FALSE)</f>
        <v>17</v>
      </c>
      <c r="Q91">
        <f>VLOOKUP(A91,[3]SE_SUMMIT_2050_US40_Richardson_!$A:$Z,26,FALSE)</f>
        <v>0</v>
      </c>
      <c r="R91">
        <f t="shared" si="4"/>
        <v>0</v>
      </c>
      <c r="S91">
        <f t="shared" si="5"/>
        <v>0</v>
      </c>
      <c r="T91">
        <f t="shared" si="6"/>
        <v>0</v>
      </c>
      <c r="U91">
        <f t="shared" si="7"/>
        <v>0</v>
      </c>
    </row>
    <row r="92" spans="1:21" x14ac:dyDescent="0.25">
      <c r="A92">
        <v>43091</v>
      </c>
      <c r="B92">
        <v>0</v>
      </c>
      <c r="C92">
        <v>0</v>
      </c>
      <c r="D92">
        <v>416</v>
      </c>
      <c r="E92">
        <v>54</v>
      </c>
      <c r="F92">
        <f>VLOOKUP(A92,[1]SE_SUMMIT_2032_US40!$A:$Y,23,FALSE)</f>
        <v>0</v>
      </c>
      <c r="G92">
        <f>VLOOKUP(A92,[1]SE_SUMMIT_2032_US40!$A:$Y,24,FALSE)</f>
        <v>0</v>
      </c>
      <c r="H92">
        <f>VLOOKUP(A92,[1]SE_SUMMIT_2032_US40!$A:$Y,25,FALSE)</f>
        <v>416</v>
      </c>
      <c r="I92">
        <f>VLOOKUP(A92,[1]SE_SUMMIT_2032_US40!$A:$Z,26,FALSE)</f>
        <v>303</v>
      </c>
      <c r="J92">
        <f>VLOOKUP(A92,[2]SE_SUMMIT_2042_US40!$A:$Y,23,FALSE)</f>
        <v>0</v>
      </c>
      <c r="K92">
        <f>VLOOKUP(A92,[2]SE_SUMMIT_2042_US40!$A:$Y,24,FALSE)</f>
        <v>0</v>
      </c>
      <c r="L92">
        <f>VLOOKUP(A92,[2]SE_SUMMIT_2042_US40!$A:$Y,25,FALSE)</f>
        <v>416</v>
      </c>
      <c r="M92">
        <f>VLOOKUP(A92,[2]SE_SUMMIT_2042_US40!$A:$Z,26,FALSE)</f>
        <v>303</v>
      </c>
      <c r="N92">
        <f>VLOOKUP(A92,[3]SE_SUMMIT_2050_US40_Richardson_!$A:$Y,23,FALSE)</f>
        <v>0</v>
      </c>
      <c r="O92">
        <f>VLOOKUP(A92,[3]SE_SUMMIT_2050_US40_Richardson_!$A:$Y,24,FALSE)</f>
        <v>0</v>
      </c>
      <c r="P92">
        <f>VLOOKUP(A92,[3]SE_SUMMIT_2050_US40_Richardson_!$A:$Y,25,FALSE)</f>
        <v>416</v>
      </c>
      <c r="Q92">
        <f>VLOOKUP(A92,[3]SE_SUMMIT_2050_US40_Richardson_!$A:$Z,26,FALSE)</f>
        <v>54</v>
      </c>
      <c r="R92">
        <f t="shared" si="4"/>
        <v>0</v>
      </c>
      <c r="S92">
        <f t="shared" si="5"/>
        <v>0</v>
      </c>
      <c r="T92">
        <f t="shared" si="6"/>
        <v>0</v>
      </c>
      <c r="U92">
        <f t="shared" si="7"/>
        <v>0</v>
      </c>
    </row>
    <row r="93" spans="1:21" x14ac:dyDescent="0.25">
      <c r="A93">
        <v>43092</v>
      </c>
      <c r="B93">
        <v>485</v>
      </c>
      <c r="C93">
        <v>0</v>
      </c>
      <c r="D93">
        <v>75</v>
      </c>
      <c r="E93">
        <v>32</v>
      </c>
      <c r="F93">
        <f>VLOOKUP(A93,[1]SE_SUMMIT_2032_US40!$A:$Y,23,FALSE)</f>
        <v>485</v>
      </c>
      <c r="G93">
        <f>VLOOKUP(A93,[1]SE_SUMMIT_2032_US40!$A:$Y,24,FALSE)</f>
        <v>0</v>
      </c>
      <c r="H93">
        <f>VLOOKUP(A93,[1]SE_SUMMIT_2032_US40!$A:$Y,25,FALSE)</f>
        <v>75</v>
      </c>
      <c r="I93">
        <f>VLOOKUP(A93,[1]SE_SUMMIT_2032_US40!$A:$Z,26,FALSE)</f>
        <v>32</v>
      </c>
      <c r="J93">
        <f>VLOOKUP(A93,[2]SE_SUMMIT_2042_US40!$A:$Y,23,FALSE)</f>
        <v>485</v>
      </c>
      <c r="K93">
        <f>VLOOKUP(A93,[2]SE_SUMMIT_2042_US40!$A:$Y,24,FALSE)</f>
        <v>0</v>
      </c>
      <c r="L93">
        <f>VLOOKUP(A93,[2]SE_SUMMIT_2042_US40!$A:$Y,25,FALSE)</f>
        <v>75</v>
      </c>
      <c r="M93">
        <f>VLOOKUP(A93,[2]SE_SUMMIT_2042_US40!$A:$Z,26,FALSE)</f>
        <v>32</v>
      </c>
      <c r="N93">
        <f>VLOOKUP(A93,[3]SE_SUMMIT_2050_US40_Richardson_!$A:$Y,23,FALSE)</f>
        <v>485</v>
      </c>
      <c r="O93">
        <f>VLOOKUP(A93,[3]SE_SUMMIT_2050_US40_Richardson_!$A:$Y,24,FALSE)</f>
        <v>0</v>
      </c>
      <c r="P93">
        <f>VLOOKUP(A93,[3]SE_SUMMIT_2050_US40_Richardson_!$A:$Y,25,FALSE)</f>
        <v>75</v>
      </c>
      <c r="Q93">
        <f>VLOOKUP(A93,[3]SE_SUMMIT_2050_US40_Richardson_!$A:$Z,26,FALSE)</f>
        <v>32</v>
      </c>
      <c r="R93">
        <f t="shared" si="4"/>
        <v>0</v>
      </c>
      <c r="S93">
        <f t="shared" si="5"/>
        <v>0</v>
      </c>
      <c r="T93">
        <f t="shared" si="6"/>
        <v>0</v>
      </c>
      <c r="U93">
        <f t="shared" si="7"/>
        <v>0</v>
      </c>
    </row>
    <row r="94" spans="1:21" x14ac:dyDescent="0.25">
      <c r="A94">
        <v>43093</v>
      </c>
      <c r="B94">
        <v>280</v>
      </c>
      <c r="C94">
        <v>0</v>
      </c>
      <c r="D94">
        <v>181</v>
      </c>
      <c r="E94">
        <v>0</v>
      </c>
      <c r="F94">
        <f>VLOOKUP(A94,[1]SE_SUMMIT_2032_US40!$A:$Y,23,FALSE)</f>
        <v>280</v>
      </c>
      <c r="G94">
        <f>VLOOKUP(A94,[1]SE_SUMMIT_2032_US40!$A:$Y,24,FALSE)</f>
        <v>0</v>
      </c>
      <c r="H94">
        <f>VLOOKUP(A94,[1]SE_SUMMIT_2032_US40!$A:$Y,25,FALSE)</f>
        <v>181</v>
      </c>
      <c r="I94">
        <f>VLOOKUP(A94,[1]SE_SUMMIT_2032_US40!$A:$Z,26,FALSE)</f>
        <v>0</v>
      </c>
      <c r="J94">
        <f>VLOOKUP(A94,[2]SE_SUMMIT_2042_US40!$A:$Y,23,FALSE)</f>
        <v>280</v>
      </c>
      <c r="K94">
        <f>VLOOKUP(A94,[2]SE_SUMMIT_2042_US40!$A:$Y,24,FALSE)</f>
        <v>0</v>
      </c>
      <c r="L94">
        <f>VLOOKUP(A94,[2]SE_SUMMIT_2042_US40!$A:$Y,25,FALSE)</f>
        <v>181</v>
      </c>
      <c r="M94">
        <f>VLOOKUP(A94,[2]SE_SUMMIT_2042_US40!$A:$Z,26,FALSE)</f>
        <v>0</v>
      </c>
      <c r="N94">
        <f>VLOOKUP(A94,[3]SE_SUMMIT_2050_US40_Richardson_!$A:$Y,23,FALSE)</f>
        <v>280</v>
      </c>
      <c r="O94">
        <f>VLOOKUP(A94,[3]SE_SUMMIT_2050_US40_Richardson_!$A:$Y,24,FALSE)</f>
        <v>0</v>
      </c>
      <c r="P94">
        <f>VLOOKUP(A94,[3]SE_SUMMIT_2050_US40_Richardson_!$A:$Y,25,FALSE)</f>
        <v>181</v>
      </c>
      <c r="Q94">
        <f>VLOOKUP(A94,[3]SE_SUMMIT_2050_US40_Richardson_!$A:$Z,26,FALSE)</f>
        <v>0</v>
      </c>
      <c r="R94">
        <f t="shared" si="4"/>
        <v>0</v>
      </c>
      <c r="S94">
        <f t="shared" si="5"/>
        <v>0</v>
      </c>
      <c r="T94">
        <f t="shared" si="6"/>
        <v>0</v>
      </c>
      <c r="U94">
        <f t="shared" si="7"/>
        <v>0</v>
      </c>
    </row>
    <row r="95" spans="1:21" x14ac:dyDescent="0.25">
      <c r="A95">
        <v>43094</v>
      </c>
      <c r="B95">
        <v>48</v>
      </c>
      <c r="C95">
        <v>0</v>
      </c>
      <c r="D95">
        <v>0</v>
      </c>
      <c r="E95">
        <v>0</v>
      </c>
      <c r="F95">
        <f>VLOOKUP(A95,[1]SE_SUMMIT_2032_US40!$A:$Y,23,FALSE)</f>
        <v>48</v>
      </c>
      <c r="G95">
        <f>VLOOKUP(A95,[1]SE_SUMMIT_2032_US40!$A:$Y,24,FALSE)</f>
        <v>0</v>
      </c>
      <c r="H95">
        <f>VLOOKUP(A95,[1]SE_SUMMIT_2032_US40!$A:$Y,25,FALSE)</f>
        <v>0</v>
      </c>
      <c r="I95">
        <f>VLOOKUP(A95,[1]SE_SUMMIT_2032_US40!$A:$Z,26,FALSE)</f>
        <v>0</v>
      </c>
      <c r="J95">
        <f>VLOOKUP(A95,[2]SE_SUMMIT_2042_US40!$A:$Y,23,FALSE)</f>
        <v>48</v>
      </c>
      <c r="K95">
        <f>VLOOKUP(A95,[2]SE_SUMMIT_2042_US40!$A:$Y,24,FALSE)</f>
        <v>0</v>
      </c>
      <c r="L95">
        <f>VLOOKUP(A95,[2]SE_SUMMIT_2042_US40!$A:$Y,25,FALSE)</f>
        <v>0</v>
      </c>
      <c r="M95">
        <f>VLOOKUP(A95,[2]SE_SUMMIT_2042_US40!$A:$Z,26,FALSE)</f>
        <v>0</v>
      </c>
      <c r="N95">
        <f>VLOOKUP(A95,[3]SE_SUMMIT_2050_US40_Richardson_!$A:$Y,23,FALSE)</f>
        <v>48</v>
      </c>
      <c r="O95">
        <f>VLOOKUP(A95,[3]SE_SUMMIT_2050_US40_Richardson_!$A:$Y,24,FALSE)</f>
        <v>0</v>
      </c>
      <c r="P95">
        <f>VLOOKUP(A95,[3]SE_SUMMIT_2050_US40_Richardson_!$A:$Y,25,FALSE)</f>
        <v>0</v>
      </c>
      <c r="Q95">
        <f>VLOOKUP(A95,[3]SE_SUMMIT_2050_US40_Richardson_!$A:$Z,26,FALSE)</f>
        <v>0</v>
      </c>
      <c r="R95">
        <f t="shared" si="4"/>
        <v>0</v>
      </c>
      <c r="S95">
        <f t="shared" si="5"/>
        <v>0</v>
      </c>
      <c r="T95">
        <f t="shared" si="6"/>
        <v>0</v>
      </c>
      <c r="U95">
        <f t="shared" si="7"/>
        <v>0</v>
      </c>
    </row>
    <row r="96" spans="1:21" x14ac:dyDescent="0.25">
      <c r="A96">
        <v>43095</v>
      </c>
      <c r="B96">
        <v>69</v>
      </c>
      <c r="C96">
        <v>0</v>
      </c>
      <c r="D96">
        <v>0</v>
      </c>
      <c r="E96">
        <v>0</v>
      </c>
      <c r="F96">
        <f>VLOOKUP(A96,[1]SE_SUMMIT_2032_US40!$A:$Y,23,FALSE)</f>
        <v>69</v>
      </c>
      <c r="G96">
        <f>VLOOKUP(A96,[1]SE_SUMMIT_2032_US40!$A:$Y,24,FALSE)</f>
        <v>0</v>
      </c>
      <c r="H96">
        <f>VLOOKUP(A96,[1]SE_SUMMIT_2032_US40!$A:$Y,25,FALSE)</f>
        <v>0</v>
      </c>
      <c r="I96">
        <f>VLOOKUP(A96,[1]SE_SUMMIT_2032_US40!$A:$Z,26,FALSE)</f>
        <v>0</v>
      </c>
      <c r="J96">
        <f>VLOOKUP(A96,[2]SE_SUMMIT_2042_US40!$A:$Y,23,FALSE)</f>
        <v>69</v>
      </c>
      <c r="K96">
        <f>VLOOKUP(A96,[2]SE_SUMMIT_2042_US40!$A:$Y,24,FALSE)</f>
        <v>0</v>
      </c>
      <c r="L96">
        <f>VLOOKUP(A96,[2]SE_SUMMIT_2042_US40!$A:$Y,25,FALSE)</f>
        <v>0</v>
      </c>
      <c r="M96">
        <f>VLOOKUP(A96,[2]SE_SUMMIT_2042_US40!$A:$Z,26,FALSE)</f>
        <v>0</v>
      </c>
      <c r="N96">
        <f>VLOOKUP(A96,[3]SE_SUMMIT_2050_US40_Richardson_!$A:$Y,23,FALSE)</f>
        <v>69</v>
      </c>
      <c r="O96">
        <f>VLOOKUP(A96,[3]SE_SUMMIT_2050_US40_Richardson_!$A:$Y,24,FALSE)</f>
        <v>0</v>
      </c>
      <c r="P96">
        <f>VLOOKUP(A96,[3]SE_SUMMIT_2050_US40_Richardson_!$A:$Y,25,FALSE)</f>
        <v>0</v>
      </c>
      <c r="Q96">
        <f>VLOOKUP(A96,[3]SE_SUMMIT_2050_US40_Richardson_!$A:$Z,26,FALSE)</f>
        <v>0</v>
      </c>
      <c r="R96">
        <f t="shared" si="4"/>
        <v>0</v>
      </c>
      <c r="S96">
        <f t="shared" si="5"/>
        <v>0</v>
      </c>
      <c r="T96">
        <f t="shared" si="6"/>
        <v>0</v>
      </c>
      <c r="U96">
        <f t="shared" si="7"/>
        <v>0</v>
      </c>
    </row>
    <row r="97" spans="1:21" x14ac:dyDescent="0.25">
      <c r="A97">
        <v>43096</v>
      </c>
      <c r="B97">
        <v>210</v>
      </c>
      <c r="C97">
        <v>0</v>
      </c>
      <c r="D97">
        <v>210</v>
      </c>
      <c r="E97">
        <v>0</v>
      </c>
      <c r="F97">
        <f>VLOOKUP(A97,[1]SE_SUMMIT_2032_US40!$A:$Y,23,FALSE)</f>
        <v>210</v>
      </c>
      <c r="G97">
        <f>VLOOKUP(A97,[1]SE_SUMMIT_2032_US40!$A:$Y,24,FALSE)</f>
        <v>0</v>
      </c>
      <c r="H97">
        <f>VLOOKUP(A97,[1]SE_SUMMIT_2032_US40!$A:$Y,25,FALSE)</f>
        <v>210</v>
      </c>
      <c r="I97">
        <f>VLOOKUP(A97,[1]SE_SUMMIT_2032_US40!$A:$Z,26,FALSE)</f>
        <v>0</v>
      </c>
      <c r="J97">
        <f>VLOOKUP(A97,[2]SE_SUMMIT_2042_US40!$A:$Y,23,FALSE)</f>
        <v>210</v>
      </c>
      <c r="K97">
        <f>VLOOKUP(A97,[2]SE_SUMMIT_2042_US40!$A:$Y,24,FALSE)</f>
        <v>0</v>
      </c>
      <c r="L97">
        <f>VLOOKUP(A97,[2]SE_SUMMIT_2042_US40!$A:$Y,25,FALSE)</f>
        <v>210</v>
      </c>
      <c r="M97">
        <f>VLOOKUP(A97,[2]SE_SUMMIT_2042_US40!$A:$Z,26,FALSE)</f>
        <v>0</v>
      </c>
      <c r="N97">
        <f>VLOOKUP(A97,[3]SE_SUMMIT_2050_US40_Richardson_!$A:$Y,23,FALSE)</f>
        <v>210</v>
      </c>
      <c r="O97">
        <f>VLOOKUP(A97,[3]SE_SUMMIT_2050_US40_Richardson_!$A:$Y,24,FALSE)</f>
        <v>0</v>
      </c>
      <c r="P97">
        <f>VLOOKUP(A97,[3]SE_SUMMIT_2050_US40_Richardson_!$A:$Y,25,FALSE)</f>
        <v>210</v>
      </c>
      <c r="Q97">
        <f>VLOOKUP(A97,[3]SE_SUMMIT_2050_US40_Richardson_!$A:$Z,26,FALSE)</f>
        <v>0</v>
      </c>
      <c r="R97">
        <f t="shared" si="4"/>
        <v>0</v>
      </c>
      <c r="S97">
        <f t="shared" si="5"/>
        <v>0</v>
      </c>
      <c r="T97">
        <f t="shared" si="6"/>
        <v>0</v>
      </c>
      <c r="U97">
        <f t="shared" si="7"/>
        <v>0</v>
      </c>
    </row>
    <row r="98" spans="1:21" x14ac:dyDescent="0.25">
      <c r="A98">
        <v>43097</v>
      </c>
      <c r="B98">
        <v>220</v>
      </c>
      <c r="C98">
        <v>0</v>
      </c>
      <c r="D98">
        <v>0</v>
      </c>
      <c r="E98">
        <v>12</v>
      </c>
      <c r="F98">
        <f>VLOOKUP(A98,[1]SE_SUMMIT_2032_US40!$A:$Y,23,FALSE)</f>
        <v>220</v>
      </c>
      <c r="G98">
        <f>VLOOKUP(A98,[1]SE_SUMMIT_2032_US40!$A:$Y,24,FALSE)</f>
        <v>0</v>
      </c>
      <c r="H98">
        <f>VLOOKUP(A98,[1]SE_SUMMIT_2032_US40!$A:$Y,25,FALSE)</f>
        <v>0</v>
      </c>
      <c r="I98">
        <f>VLOOKUP(A98,[1]SE_SUMMIT_2032_US40!$A:$Z,26,FALSE)</f>
        <v>12</v>
      </c>
      <c r="J98">
        <f>VLOOKUP(A98,[2]SE_SUMMIT_2042_US40!$A:$Y,23,FALSE)</f>
        <v>220</v>
      </c>
      <c r="K98">
        <f>VLOOKUP(A98,[2]SE_SUMMIT_2042_US40!$A:$Y,24,FALSE)</f>
        <v>0</v>
      </c>
      <c r="L98">
        <f>VLOOKUP(A98,[2]SE_SUMMIT_2042_US40!$A:$Y,25,FALSE)</f>
        <v>0</v>
      </c>
      <c r="M98">
        <f>VLOOKUP(A98,[2]SE_SUMMIT_2042_US40!$A:$Z,26,FALSE)</f>
        <v>12</v>
      </c>
      <c r="N98">
        <f>VLOOKUP(A98,[3]SE_SUMMIT_2050_US40_Richardson_!$A:$Y,23,FALSE)</f>
        <v>220</v>
      </c>
      <c r="O98">
        <f>VLOOKUP(A98,[3]SE_SUMMIT_2050_US40_Richardson_!$A:$Y,24,FALSE)</f>
        <v>0</v>
      </c>
      <c r="P98">
        <f>VLOOKUP(A98,[3]SE_SUMMIT_2050_US40_Richardson_!$A:$Y,25,FALSE)</f>
        <v>0</v>
      </c>
      <c r="Q98">
        <f>VLOOKUP(A98,[3]SE_SUMMIT_2050_US40_Richardson_!$A:$Z,26,FALSE)</f>
        <v>12</v>
      </c>
      <c r="R98">
        <f t="shared" si="4"/>
        <v>0</v>
      </c>
      <c r="S98">
        <f t="shared" si="5"/>
        <v>0</v>
      </c>
      <c r="T98">
        <f t="shared" si="6"/>
        <v>0</v>
      </c>
      <c r="U98">
        <f t="shared" si="7"/>
        <v>0</v>
      </c>
    </row>
    <row r="99" spans="1:21" x14ac:dyDescent="0.25">
      <c r="A99">
        <v>43098</v>
      </c>
      <c r="B99">
        <v>59</v>
      </c>
      <c r="C99">
        <v>0</v>
      </c>
      <c r="D99">
        <v>59</v>
      </c>
      <c r="E99">
        <v>0</v>
      </c>
      <c r="F99">
        <f>VLOOKUP(A99,[1]SE_SUMMIT_2032_US40!$A:$Y,23,FALSE)</f>
        <v>59</v>
      </c>
      <c r="G99">
        <f>VLOOKUP(A99,[1]SE_SUMMIT_2032_US40!$A:$Y,24,FALSE)</f>
        <v>0</v>
      </c>
      <c r="H99">
        <f>VLOOKUP(A99,[1]SE_SUMMIT_2032_US40!$A:$Y,25,FALSE)</f>
        <v>59</v>
      </c>
      <c r="I99">
        <f>VLOOKUP(A99,[1]SE_SUMMIT_2032_US40!$A:$Z,26,FALSE)</f>
        <v>0</v>
      </c>
      <c r="J99">
        <f>VLOOKUP(A99,[2]SE_SUMMIT_2042_US40!$A:$Y,23,FALSE)</f>
        <v>59</v>
      </c>
      <c r="K99">
        <f>VLOOKUP(A99,[2]SE_SUMMIT_2042_US40!$A:$Y,24,FALSE)</f>
        <v>0</v>
      </c>
      <c r="L99">
        <f>VLOOKUP(A99,[2]SE_SUMMIT_2042_US40!$A:$Y,25,FALSE)</f>
        <v>59</v>
      </c>
      <c r="M99">
        <f>VLOOKUP(A99,[2]SE_SUMMIT_2042_US40!$A:$Z,26,FALSE)</f>
        <v>0</v>
      </c>
      <c r="N99">
        <f>VLOOKUP(A99,[3]SE_SUMMIT_2050_US40_Richardson_!$A:$Y,23,FALSE)</f>
        <v>59</v>
      </c>
      <c r="O99">
        <f>VLOOKUP(A99,[3]SE_SUMMIT_2050_US40_Richardson_!$A:$Y,24,FALSE)</f>
        <v>0</v>
      </c>
      <c r="P99">
        <f>VLOOKUP(A99,[3]SE_SUMMIT_2050_US40_Richardson_!$A:$Y,25,FALSE)</f>
        <v>59</v>
      </c>
      <c r="Q99">
        <f>VLOOKUP(A99,[3]SE_SUMMIT_2050_US40_Richardson_!$A:$Z,26,FALSE)</f>
        <v>0</v>
      </c>
      <c r="R99">
        <f t="shared" si="4"/>
        <v>0</v>
      </c>
      <c r="S99">
        <f t="shared" si="5"/>
        <v>0</v>
      </c>
      <c r="T99">
        <f t="shared" si="6"/>
        <v>0</v>
      </c>
      <c r="U99">
        <f t="shared" si="7"/>
        <v>0</v>
      </c>
    </row>
    <row r="100" spans="1:21" x14ac:dyDescent="0.25">
      <c r="A100">
        <v>43099</v>
      </c>
      <c r="B100">
        <v>115</v>
      </c>
      <c r="C100">
        <v>0</v>
      </c>
      <c r="D100">
        <v>0</v>
      </c>
      <c r="E100">
        <v>0</v>
      </c>
      <c r="F100">
        <f>VLOOKUP(A100,[1]SE_SUMMIT_2032_US40!$A:$Y,23,FALSE)</f>
        <v>115</v>
      </c>
      <c r="G100">
        <f>VLOOKUP(A100,[1]SE_SUMMIT_2032_US40!$A:$Y,24,FALSE)</f>
        <v>0</v>
      </c>
      <c r="H100">
        <f>VLOOKUP(A100,[1]SE_SUMMIT_2032_US40!$A:$Y,25,FALSE)</f>
        <v>0</v>
      </c>
      <c r="I100">
        <f>VLOOKUP(A100,[1]SE_SUMMIT_2032_US40!$A:$Z,26,FALSE)</f>
        <v>0</v>
      </c>
      <c r="J100">
        <f>VLOOKUP(A100,[2]SE_SUMMIT_2042_US40!$A:$Y,23,FALSE)</f>
        <v>115</v>
      </c>
      <c r="K100">
        <f>VLOOKUP(A100,[2]SE_SUMMIT_2042_US40!$A:$Y,24,FALSE)</f>
        <v>0</v>
      </c>
      <c r="L100">
        <f>VLOOKUP(A100,[2]SE_SUMMIT_2042_US40!$A:$Y,25,FALSE)</f>
        <v>0</v>
      </c>
      <c r="M100">
        <f>VLOOKUP(A100,[2]SE_SUMMIT_2042_US40!$A:$Z,26,FALSE)</f>
        <v>0</v>
      </c>
      <c r="N100">
        <f>VLOOKUP(A100,[3]SE_SUMMIT_2050_US40_Richardson_!$A:$Y,23,FALSE)</f>
        <v>115</v>
      </c>
      <c r="O100">
        <f>VLOOKUP(A100,[3]SE_SUMMIT_2050_US40_Richardson_!$A:$Y,24,FALSE)</f>
        <v>0</v>
      </c>
      <c r="P100">
        <f>VLOOKUP(A100,[3]SE_SUMMIT_2050_US40_Richardson_!$A:$Y,25,FALSE)</f>
        <v>0</v>
      </c>
      <c r="Q100">
        <f>VLOOKUP(A100,[3]SE_SUMMIT_2050_US40_Richardson_!$A:$Z,26,FALSE)</f>
        <v>0</v>
      </c>
      <c r="R100">
        <f t="shared" si="4"/>
        <v>0</v>
      </c>
      <c r="S100">
        <f t="shared" si="5"/>
        <v>0</v>
      </c>
      <c r="T100">
        <f t="shared" si="6"/>
        <v>0</v>
      </c>
      <c r="U100">
        <f t="shared" si="7"/>
        <v>0</v>
      </c>
    </row>
    <row r="101" spans="1:21" x14ac:dyDescent="0.25">
      <c r="A101">
        <v>43100</v>
      </c>
      <c r="B101">
        <v>0</v>
      </c>
      <c r="C101">
        <v>0</v>
      </c>
      <c r="D101">
        <v>605</v>
      </c>
      <c r="E101">
        <v>177</v>
      </c>
      <c r="F101">
        <f>VLOOKUP(A101,[1]SE_SUMMIT_2032_US40!$A:$Y,23,FALSE)</f>
        <v>0</v>
      </c>
      <c r="G101">
        <f>VLOOKUP(A101,[1]SE_SUMMIT_2032_US40!$A:$Y,24,FALSE)</f>
        <v>0</v>
      </c>
      <c r="H101">
        <f>VLOOKUP(A101,[1]SE_SUMMIT_2032_US40!$A:$Y,25,FALSE)</f>
        <v>751</v>
      </c>
      <c r="I101">
        <f>VLOOKUP(A101,[1]SE_SUMMIT_2032_US40!$A:$Z,26,FALSE)</f>
        <v>297</v>
      </c>
      <c r="J101">
        <f>VLOOKUP(A101,[2]SE_SUMMIT_2042_US40!$A:$Y,23,FALSE)</f>
        <v>0</v>
      </c>
      <c r="K101">
        <f>VLOOKUP(A101,[2]SE_SUMMIT_2042_US40!$A:$Y,24,FALSE)</f>
        <v>0</v>
      </c>
      <c r="L101">
        <f>VLOOKUP(A101,[2]SE_SUMMIT_2042_US40!$A:$Y,25,FALSE)</f>
        <v>751</v>
      </c>
      <c r="M101">
        <f>VLOOKUP(A101,[2]SE_SUMMIT_2042_US40!$A:$Z,26,FALSE)</f>
        <v>297</v>
      </c>
      <c r="N101">
        <f>VLOOKUP(A101,[3]SE_SUMMIT_2050_US40_Richardson_!$A:$Y,23,FALSE)</f>
        <v>0</v>
      </c>
      <c r="O101">
        <f>VLOOKUP(A101,[3]SE_SUMMIT_2050_US40_Richardson_!$A:$Y,24,FALSE)</f>
        <v>0</v>
      </c>
      <c r="P101">
        <f>VLOOKUP(A101,[3]SE_SUMMIT_2050_US40_Richardson_!$A:$Y,25,FALSE)</f>
        <v>751</v>
      </c>
      <c r="Q101">
        <f>VLOOKUP(A101,[3]SE_SUMMIT_2050_US40_Richardson_!$A:$Z,26,FALSE)</f>
        <v>297</v>
      </c>
      <c r="R101">
        <f t="shared" si="4"/>
        <v>0</v>
      </c>
      <c r="S101">
        <f t="shared" si="5"/>
        <v>0</v>
      </c>
      <c r="T101">
        <f t="shared" si="6"/>
        <v>146</v>
      </c>
      <c r="U101">
        <f t="shared" si="7"/>
        <v>120</v>
      </c>
    </row>
    <row r="102" spans="1:21" x14ac:dyDescent="0.25">
      <c r="A102">
        <v>43101</v>
      </c>
      <c r="B102">
        <v>145</v>
      </c>
      <c r="C102">
        <v>0</v>
      </c>
      <c r="D102">
        <v>50</v>
      </c>
      <c r="E102">
        <v>0</v>
      </c>
      <c r="F102">
        <f>VLOOKUP(A102,[1]SE_SUMMIT_2032_US40!$A:$Y,23,FALSE)</f>
        <v>145</v>
      </c>
      <c r="G102">
        <f>VLOOKUP(A102,[1]SE_SUMMIT_2032_US40!$A:$Y,24,FALSE)</f>
        <v>0</v>
      </c>
      <c r="H102">
        <f>VLOOKUP(A102,[1]SE_SUMMIT_2032_US40!$A:$Y,25,FALSE)</f>
        <v>50</v>
      </c>
      <c r="I102">
        <f>VLOOKUP(A102,[1]SE_SUMMIT_2032_US40!$A:$Z,26,FALSE)</f>
        <v>0</v>
      </c>
      <c r="J102">
        <f>VLOOKUP(A102,[2]SE_SUMMIT_2042_US40!$A:$Y,23,FALSE)</f>
        <v>145</v>
      </c>
      <c r="K102">
        <f>VLOOKUP(A102,[2]SE_SUMMIT_2042_US40!$A:$Y,24,FALSE)</f>
        <v>0</v>
      </c>
      <c r="L102">
        <f>VLOOKUP(A102,[2]SE_SUMMIT_2042_US40!$A:$Y,25,FALSE)</f>
        <v>50</v>
      </c>
      <c r="M102">
        <f>VLOOKUP(A102,[2]SE_SUMMIT_2042_US40!$A:$Z,26,FALSE)</f>
        <v>0</v>
      </c>
      <c r="N102">
        <f>VLOOKUP(A102,[3]SE_SUMMIT_2050_US40_Richardson_!$A:$Y,23,FALSE)</f>
        <v>145</v>
      </c>
      <c r="O102">
        <f>VLOOKUP(A102,[3]SE_SUMMIT_2050_US40_Richardson_!$A:$Y,24,FALSE)</f>
        <v>0</v>
      </c>
      <c r="P102">
        <f>VLOOKUP(A102,[3]SE_SUMMIT_2050_US40_Richardson_!$A:$Y,25,FALSE)</f>
        <v>50</v>
      </c>
      <c r="Q102">
        <f>VLOOKUP(A102,[3]SE_SUMMIT_2050_US40_Richardson_!$A:$Z,26,FALSE)</f>
        <v>0</v>
      </c>
      <c r="R102">
        <f t="shared" si="4"/>
        <v>0</v>
      </c>
      <c r="S102">
        <f t="shared" si="5"/>
        <v>0</v>
      </c>
      <c r="T102">
        <f t="shared" si="6"/>
        <v>0</v>
      </c>
      <c r="U102">
        <f t="shared" si="7"/>
        <v>0</v>
      </c>
    </row>
    <row r="103" spans="1:21" x14ac:dyDescent="0.25">
      <c r="A103">
        <v>43102</v>
      </c>
      <c r="B103">
        <v>0</v>
      </c>
      <c r="C103">
        <v>0</v>
      </c>
      <c r="D103">
        <v>96</v>
      </c>
      <c r="E103">
        <v>142</v>
      </c>
      <c r="F103">
        <f>VLOOKUP(A103,[1]SE_SUMMIT_2032_US40!$A:$Y,23,FALSE)</f>
        <v>0</v>
      </c>
      <c r="G103">
        <f>VLOOKUP(A103,[1]SE_SUMMIT_2032_US40!$A:$Y,24,FALSE)</f>
        <v>0</v>
      </c>
      <c r="H103">
        <f>VLOOKUP(A103,[1]SE_SUMMIT_2032_US40!$A:$Y,25,FALSE)</f>
        <v>96</v>
      </c>
      <c r="I103">
        <f>VLOOKUP(A103,[1]SE_SUMMIT_2032_US40!$A:$Z,26,FALSE)</f>
        <v>142</v>
      </c>
      <c r="J103">
        <f>VLOOKUP(A103,[2]SE_SUMMIT_2042_US40!$A:$Y,23,FALSE)</f>
        <v>0</v>
      </c>
      <c r="K103">
        <f>VLOOKUP(A103,[2]SE_SUMMIT_2042_US40!$A:$Y,24,FALSE)</f>
        <v>0</v>
      </c>
      <c r="L103">
        <f>VLOOKUP(A103,[2]SE_SUMMIT_2042_US40!$A:$Y,25,FALSE)</f>
        <v>96</v>
      </c>
      <c r="M103">
        <f>VLOOKUP(A103,[2]SE_SUMMIT_2042_US40!$A:$Z,26,FALSE)</f>
        <v>142</v>
      </c>
      <c r="N103">
        <f>VLOOKUP(A103,[3]SE_SUMMIT_2050_US40_Richardson_!$A:$Y,23,FALSE)</f>
        <v>0</v>
      </c>
      <c r="O103">
        <f>VLOOKUP(A103,[3]SE_SUMMIT_2050_US40_Richardson_!$A:$Y,24,FALSE)</f>
        <v>0</v>
      </c>
      <c r="P103">
        <f>VLOOKUP(A103,[3]SE_SUMMIT_2050_US40_Richardson_!$A:$Y,25,FALSE)</f>
        <v>96</v>
      </c>
      <c r="Q103">
        <f>VLOOKUP(A103,[3]SE_SUMMIT_2050_US40_Richardson_!$A:$Z,26,FALSE)</f>
        <v>142</v>
      </c>
      <c r="R103">
        <f t="shared" si="4"/>
        <v>0</v>
      </c>
      <c r="S103">
        <f t="shared" si="5"/>
        <v>0</v>
      </c>
      <c r="T103">
        <f t="shared" si="6"/>
        <v>0</v>
      </c>
      <c r="U103">
        <f t="shared" si="7"/>
        <v>0</v>
      </c>
    </row>
    <row r="104" spans="1:21" x14ac:dyDescent="0.25">
      <c r="A104">
        <v>43103</v>
      </c>
      <c r="B104">
        <v>0</v>
      </c>
      <c r="C104">
        <v>0</v>
      </c>
      <c r="D104">
        <v>283</v>
      </c>
      <c r="E104">
        <v>0</v>
      </c>
      <c r="F104">
        <f>VLOOKUP(A104,[1]SE_SUMMIT_2032_US40!$A:$Y,23,FALSE)</f>
        <v>0</v>
      </c>
      <c r="G104">
        <f>VLOOKUP(A104,[1]SE_SUMMIT_2032_US40!$A:$Y,24,FALSE)</f>
        <v>0</v>
      </c>
      <c r="H104">
        <f>VLOOKUP(A104,[1]SE_SUMMIT_2032_US40!$A:$Y,25,FALSE)</f>
        <v>283</v>
      </c>
      <c r="I104">
        <f>VLOOKUP(A104,[1]SE_SUMMIT_2032_US40!$A:$Z,26,FALSE)</f>
        <v>0</v>
      </c>
      <c r="J104">
        <f>VLOOKUP(A104,[2]SE_SUMMIT_2042_US40!$A:$Y,23,FALSE)</f>
        <v>0</v>
      </c>
      <c r="K104">
        <f>VLOOKUP(A104,[2]SE_SUMMIT_2042_US40!$A:$Y,24,FALSE)</f>
        <v>0</v>
      </c>
      <c r="L104">
        <f>VLOOKUP(A104,[2]SE_SUMMIT_2042_US40!$A:$Y,25,FALSE)</f>
        <v>283</v>
      </c>
      <c r="M104">
        <f>VLOOKUP(A104,[2]SE_SUMMIT_2042_US40!$A:$Z,26,FALSE)</f>
        <v>0</v>
      </c>
      <c r="N104">
        <f>VLOOKUP(A104,[3]SE_SUMMIT_2050_US40_Richardson_!$A:$Y,23,FALSE)</f>
        <v>0</v>
      </c>
      <c r="O104">
        <f>VLOOKUP(A104,[3]SE_SUMMIT_2050_US40_Richardson_!$A:$Y,24,FALSE)</f>
        <v>0</v>
      </c>
      <c r="P104">
        <f>VLOOKUP(A104,[3]SE_SUMMIT_2050_US40_Richardson_!$A:$Y,25,FALSE)</f>
        <v>283</v>
      </c>
      <c r="Q104">
        <f>VLOOKUP(A104,[3]SE_SUMMIT_2050_US40_Richardson_!$A:$Z,26,FALSE)</f>
        <v>0</v>
      </c>
      <c r="R104">
        <f t="shared" si="4"/>
        <v>0</v>
      </c>
      <c r="S104">
        <f t="shared" si="5"/>
        <v>0</v>
      </c>
      <c r="T104">
        <f t="shared" si="6"/>
        <v>0</v>
      </c>
      <c r="U104">
        <f t="shared" si="7"/>
        <v>0</v>
      </c>
    </row>
    <row r="105" spans="1:21" x14ac:dyDescent="0.25">
      <c r="A105">
        <v>43104</v>
      </c>
      <c r="B105">
        <v>0</v>
      </c>
      <c r="C105">
        <v>0</v>
      </c>
      <c r="D105">
        <v>617</v>
      </c>
      <c r="E105">
        <v>132</v>
      </c>
      <c r="F105">
        <f>VLOOKUP(A105,[1]SE_SUMMIT_2032_US40!$A:$Y,23,FALSE)</f>
        <v>0</v>
      </c>
      <c r="G105">
        <f>VLOOKUP(A105,[1]SE_SUMMIT_2032_US40!$A:$Y,24,FALSE)</f>
        <v>0</v>
      </c>
      <c r="H105">
        <f>VLOOKUP(A105,[1]SE_SUMMIT_2032_US40!$A:$Y,25,FALSE)</f>
        <v>617</v>
      </c>
      <c r="I105">
        <f>VLOOKUP(A105,[1]SE_SUMMIT_2032_US40!$A:$Z,26,FALSE)</f>
        <v>132</v>
      </c>
      <c r="J105">
        <f>VLOOKUP(A105,[2]SE_SUMMIT_2042_US40!$A:$Y,23,FALSE)</f>
        <v>0</v>
      </c>
      <c r="K105">
        <f>VLOOKUP(A105,[2]SE_SUMMIT_2042_US40!$A:$Y,24,FALSE)</f>
        <v>0</v>
      </c>
      <c r="L105">
        <f>VLOOKUP(A105,[2]SE_SUMMIT_2042_US40!$A:$Y,25,FALSE)</f>
        <v>617</v>
      </c>
      <c r="M105">
        <f>VLOOKUP(A105,[2]SE_SUMMIT_2042_US40!$A:$Z,26,FALSE)</f>
        <v>132</v>
      </c>
      <c r="N105">
        <f>VLOOKUP(A105,[3]SE_SUMMIT_2050_US40_Richardson_!$A:$Y,23,FALSE)</f>
        <v>0</v>
      </c>
      <c r="O105">
        <f>VLOOKUP(A105,[3]SE_SUMMIT_2050_US40_Richardson_!$A:$Y,24,FALSE)</f>
        <v>0</v>
      </c>
      <c r="P105">
        <f>VLOOKUP(A105,[3]SE_SUMMIT_2050_US40_Richardson_!$A:$Y,25,FALSE)</f>
        <v>617</v>
      </c>
      <c r="Q105">
        <f>VLOOKUP(A105,[3]SE_SUMMIT_2050_US40_Richardson_!$A:$Z,26,FALSE)</f>
        <v>132</v>
      </c>
      <c r="R105">
        <f t="shared" si="4"/>
        <v>0</v>
      </c>
      <c r="S105">
        <f t="shared" si="5"/>
        <v>0</v>
      </c>
      <c r="T105">
        <f t="shared" si="6"/>
        <v>0</v>
      </c>
      <c r="U105">
        <f t="shared" si="7"/>
        <v>0</v>
      </c>
    </row>
    <row r="106" spans="1:21" x14ac:dyDescent="0.25">
      <c r="A106">
        <v>43105</v>
      </c>
      <c r="B106">
        <v>23</v>
      </c>
      <c r="C106">
        <v>0</v>
      </c>
      <c r="D106">
        <v>0</v>
      </c>
      <c r="E106">
        <v>0</v>
      </c>
      <c r="F106">
        <f>VLOOKUP(A106,[1]SE_SUMMIT_2032_US40!$A:$Y,23,FALSE)</f>
        <v>23</v>
      </c>
      <c r="G106">
        <f>VLOOKUP(A106,[1]SE_SUMMIT_2032_US40!$A:$Y,24,FALSE)</f>
        <v>0</v>
      </c>
      <c r="H106">
        <f>VLOOKUP(A106,[1]SE_SUMMIT_2032_US40!$A:$Y,25,FALSE)</f>
        <v>0</v>
      </c>
      <c r="I106">
        <f>VLOOKUP(A106,[1]SE_SUMMIT_2032_US40!$A:$Z,26,FALSE)</f>
        <v>0</v>
      </c>
      <c r="J106">
        <f>VLOOKUP(A106,[2]SE_SUMMIT_2042_US40!$A:$Y,23,FALSE)</f>
        <v>23</v>
      </c>
      <c r="K106">
        <f>VLOOKUP(A106,[2]SE_SUMMIT_2042_US40!$A:$Y,24,FALSE)</f>
        <v>0</v>
      </c>
      <c r="L106">
        <f>VLOOKUP(A106,[2]SE_SUMMIT_2042_US40!$A:$Y,25,FALSE)</f>
        <v>0</v>
      </c>
      <c r="M106">
        <f>VLOOKUP(A106,[2]SE_SUMMIT_2042_US40!$A:$Z,26,FALSE)</f>
        <v>0</v>
      </c>
      <c r="N106">
        <f>VLOOKUP(A106,[3]SE_SUMMIT_2050_US40_Richardson_!$A:$Y,23,FALSE)</f>
        <v>23</v>
      </c>
      <c r="O106">
        <f>VLOOKUP(A106,[3]SE_SUMMIT_2050_US40_Richardson_!$A:$Y,24,FALSE)</f>
        <v>0</v>
      </c>
      <c r="P106">
        <f>VLOOKUP(A106,[3]SE_SUMMIT_2050_US40_Richardson_!$A:$Y,25,FALSE)</f>
        <v>0</v>
      </c>
      <c r="Q106">
        <f>VLOOKUP(A106,[3]SE_SUMMIT_2050_US40_Richardson_!$A:$Z,26,FALSE)</f>
        <v>0</v>
      </c>
      <c r="R106">
        <f t="shared" si="4"/>
        <v>0</v>
      </c>
      <c r="S106">
        <f t="shared" si="5"/>
        <v>0</v>
      </c>
      <c r="T106">
        <f t="shared" si="6"/>
        <v>0</v>
      </c>
      <c r="U106">
        <f t="shared" si="7"/>
        <v>0</v>
      </c>
    </row>
    <row r="107" spans="1:21" x14ac:dyDescent="0.25">
      <c r="A107">
        <v>43106</v>
      </c>
      <c r="B107">
        <v>17</v>
      </c>
      <c r="C107">
        <v>0</v>
      </c>
      <c r="D107">
        <v>0</v>
      </c>
      <c r="E107">
        <v>0</v>
      </c>
      <c r="F107">
        <f>VLOOKUP(A107,[1]SE_SUMMIT_2032_US40!$A:$Y,23,FALSE)</f>
        <v>17</v>
      </c>
      <c r="G107">
        <f>VLOOKUP(A107,[1]SE_SUMMIT_2032_US40!$A:$Y,24,FALSE)</f>
        <v>0</v>
      </c>
      <c r="H107">
        <f>VLOOKUP(A107,[1]SE_SUMMIT_2032_US40!$A:$Y,25,FALSE)</f>
        <v>0</v>
      </c>
      <c r="I107">
        <f>VLOOKUP(A107,[1]SE_SUMMIT_2032_US40!$A:$Z,26,FALSE)</f>
        <v>0</v>
      </c>
      <c r="J107">
        <f>VLOOKUP(A107,[2]SE_SUMMIT_2042_US40!$A:$Y,23,FALSE)</f>
        <v>17</v>
      </c>
      <c r="K107">
        <f>VLOOKUP(A107,[2]SE_SUMMIT_2042_US40!$A:$Y,24,FALSE)</f>
        <v>0</v>
      </c>
      <c r="L107">
        <f>VLOOKUP(A107,[2]SE_SUMMIT_2042_US40!$A:$Y,25,FALSE)</f>
        <v>0</v>
      </c>
      <c r="M107">
        <f>VLOOKUP(A107,[2]SE_SUMMIT_2042_US40!$A:$Z,26,FALSE)</f>
        <v>0</v>
      </c>
      <c r="N107">
        <f>VLOOKUP(A107,[3]SE_SUMMIT_2050_US40_Richardson_!$A:$Y,23,FALSE)</f>
        <v>17</v>
      </c>
      <c r="O107">
        <f>VLOOKUP(A107,[3]SE_SUMMIT_2050_US40_Richardson_!$A:$Y,24,FALSE)</f>
        <v>0</v>
      </c>
      <c r="P107">
        <f>VLOOKUP(A107,[3]SE_SUMMIT_2050_US40_Richardson_!$A:$Y,25,FALSE)</f>
        <v>0</v>
      </c>
      <c r="Q107">
        <f>VLOOKUP(A107,[3]SE_SUMMIT_2050_US40_Richardson_!$A:$Z,26,FALSE)</f>
        <v>0</v>
      </c>
      <c r="R107">
        <f t="shared" si="4"/>
        <v>0</v>
      </c>
      <c r="S107">
        <f t="shared" si="5"/>
        <v>0</v>
      </c>
      <c r="T107">
        <f t="shared" si="6"/>
        <v>0</v>
      </c>
      <c r="U107">
        <f t="shared" si="7"/>
        <v>0</v>
      </c>
    </row>
    <row r="108" spans="1:21" x14ac:dyDescent="0.25">
      <c r="A108">
        <v>43107</v>
      </c>
      <c r="B108">
        <v>0</v>
      </c>
      <c r="C108">
        <v>0</v>
      </c>
      <c r="D108">
        <v>0</v>
      </c>
      <c r="E108">
        <v>0</v>
      </c>
      <c r="F108">
        <f>VLOOKUP(A108,[1]SE_SUMMIT_2032_US40!$A:$Y,23,FALSE)</f>
        <v>0</v>
      </c>
      <c r="G108">
        <f>VLOOKUP(A108,[1]SE_SUMMIT_2032_US40!$A:$Y,24,FALSE)</f>
        <v>0</v>
      </c>
      <c r="H108">
        <f>VLOOKUP(A108,[1]SE_SUMMIT_2032_US40!$A:$Y,25,FALSE)</f>
        <v>0</v>
      </c>
      <c r="I108">
        <f>VLOOKUP(A108,[1]SE_SUMMIT_2032_US40!$A:$Z,26,FALSE)</f>
        <v>0</v>
      </c>
      <c r="J108">
        <f>VLOOKUP(A108,[2]SE_SUMMIT_2042_US40!$A:$Y,23,FALSE)</f>
        <v>0</v>
      </c>
      <c r="K108">
        <f>VLOOKUP(A108,[2]SE_SUMMIT_2042_US40!$A:$Y,24,FALSE)</f>
        <v>0</v>
      </c>
      <c r="L108">
        <f>VLOOKUP(A108,[2]SE_SUMMIT_2042_US40!$A:$Y,25,FALSE)</f>
        <v>0</v>
      </c>
      <c r="M108">
        <f>VLOOKUP(A108,[2]SE_SUMMIT_2042_US40!$A:$Z,26,FALSE)</f>
        <v>0</v>
      </c>
      <c r="N108">
        <f>VLOOKUP(A108,[3]SE_SUMMIT_2050_US40_Richardson_!$A:$Y,23,FALSE)</f>
        <v>0</v>
      </c>
      <c r="O108">
        <f>VLOOKUP(A108,[3]SE_SUMMIT_2050_US40_Richardson_!$A:$Y,24,FALSE)</f>
        <v>0</v>
      </c>
      <c r="P108">
        <f>VLOOKUP(A108,[3]SE_SUMMIT_2050_US40_Richardson_!$A:$Y,25,FALSE)</f>
        <v>0</v>
      </c>
      <c r="Q108">
        <f>VLOOKUP(A108,[3]SE_SUMMIT_2050_US40_Richardson_!$A:$Z,26,FALSE)</f>
        <v>0</v>
      </c>
      <c r="R108">
        <f t="shared" si="4"/>
        <v>0</v>
      </c>
      <c r="S108">
        <f t="shared" si="5"/>
        <v>0</v>
      </c>
      <c r="T108">
        <f t="shared" si="6"/>
        <v>0</v>
      </c>
      <c r="U108">
        <f t="shared" si="7"/>
        <v>0</v>
      </c>
    </row>
    <row r="109" spans="1:21" x14ac:dyDescent="0.25">
      <c r="A109">
        <v>43108</v>
      </c>
      <c r="B109">
        <v>0</v>
      </c>
      <c r="C109">
        <v>0</v>
      </c>
      <c r="D109">
        <v>0</v>
      </c>
      <c r="E109">
        <v>0</v>
      </c>
      <c r="F109">
        <f>VLOOKUP(A109,[1]SE_SUMMIT_2032_US40!$A:$Y,23,FALSE)</f>
        <v>0</v>
      </c>
      <c r="G109">
        <f>VLOOKUP(A109,[1]SE_SUMMIT_2032_US40!$A:$Y,24,FALSE)</f>
        <v>0</v>
      </c>
      <c r="H109">
        <f>VLOOKUP(A109,[1]SE_SUMMIT_2032_US40!$A:$Y,25,FALSE)</f>
        <v>0</v>
      </c>
      <c r="I109">
        <f>VLOOKUP(A109,[1]SE_SUMMIT_2032_US40!$A:$Z,26,FALSE)</f>
        <v>0</v>
      </c>
      <c r="J109">
        <f>VLOOKUP(A109,[2]SE_SUMMIT_2042_US40!$A:$Y,23,FALSE)</f>
        <v>0</v>
      </c>
      <c r="K109">
        <f>VLOOKUP(A109,[2]SE_SUMMIT_2042_US40!$A:$Y,24,FALSE)</f>
        <v>0</v>
      </c>
      <c r="L109">
        <f>VLOOKUP(A109,[2]SE_SUMMIT_2042_US40!$A:$Y,25,FALSE)</f>
        <v>0</v>
      </c>
      <c r="M109">
        <f>VLOOKUP(A109,[2]SE_SUMMIT_2042_US40!$A:$Z,26,FALSE)</f>
        <v>0</v>
      </c>
      <c r="N109">
        <f>VLOOKUP(A109,[3]SE_SUMMIT_2050_US40_Richardson_!$A:$Y,23,FALSE)</f>
        <v>0</v>
      </c>
      <c r="O109">
        <f>VLOOKUP(A109,[3]SE_SUMMIT_2050_US40_Richardson_!$A:$Y,24,FALSE)</f>
        <v>0</v>
      </c>
      <c r="P109">
        <f>VLOOKUP(A109,[3]SE_SUMMIT_2050_US40_Richardson_!$A:$Y,25,FALSE)</f>
        <v>0</v>
      </c>
      <c r="Q109">
        <f>VLOOKUP(A109,[3]SE_SUMMIT_2050_US40_Richardson_!$A:$Z,26,FALSE)</f>
        <v>0</v>
      </c>
      <c r="R109">
        <f t="shared" si="4"/>
        <v>0</v>
      </c>
      <c r="S109">
        <f t="shared" si="5"/>
        <v>0</v>
      </c>
      <c r="T109">
        <f t="shared" si="6"/>
        <v>0</v>
      </c>
      <c r="U109">
        <f t="shared" si="7"/>
        <v>0</v>
      </c>
    </row>
    <row r="110" spans="1:21" x14ac:dyDescent="0.25">
      <c r="A110">
        <v>43109</v>
      </c>
      <c r="B110">
        <v>253</v>
      </c>
      <c r="C110">
        <v>0</v>
      </c>
      <c r="D110">
        <v>0</v>
      </c>
      <c r="E110">
        <v>0</v>
      </c>
      <c r="F110">
        <f>VLOOKUP(A110,[1]SE_SUMMIT_2032_US40!$A:$Y,23,FALSE)</f>
        <v>253</v>
      </c>
      <c r="G110">
        <f>VLOOKUP(A110,[1]SE_SUMMIT_2032_US40!$A:$Y,24,FALSE)</f>
        <v>0</v>
      </c>
      <c r="H110">
        <f>VLOOKUP(A110,[1]SE_SUMMIT_2032_US40!$A:$Y,25,FALSE)</f>
        <v>0</v>
      </c>
      <c r="I110">
        <f>VLOOKUP(A110,[1]SE_SUMMIT_2032_US40!$A:$Z,26,FALSE)</f>
        <v>0</v>
      </c>
      <c r="J110">
        <f>VLOOKUP(A110,[2]SE_SUMMIT_2042_US40!$A:$Y,23,FALSE)</f>
        <v>253</v>
      </c>
      <c r="K110">
        <f>VLOOKUP(A110,[2]SE_SUMMIT_2042_US40!$A:$Y,24,FALSE)</f>
        <v>0</v>
      </c>
      <c r="L110">
        <f>VLOOKUP(A110,[2]SE_SUMMIT_2042_US40!$A:$Y,25,FALSE)</f>
        <v>0</v>
      </c>
      <c r="M110">
        <f>VLOOKUP(A110,[2]SE_SUMMIT_2042_US40!$A:$Z,26,FALSE)</f>
        <v>0</v>
      </c>
      <c r="N110">
        <f>VLOOKUP(A110,[3]SE_SUMMIT_2050_US40_Richardson_!$A:$Y,23,FALSE)</f>
        <v>253</v>
      </c>
      <c r="O110">
        <f>VLOOKUP(A110,[3]SE_SUMMIT_2050_US40_Richardson_!$A:$Y,24,FALSE)</f>
        <v>0</v>
      </c>
      <c r="P110">
        <f>VLOOKUP(A110,[3]SE_SUMMIT_2050_US40_Richardson_!$A:$Y,25,FALSE)</f>
        <v>0</v>
      </c>
      <c r="Q110">
        <f>VLOOKUP(A110,[3]SE_SUMMIT_2050_US40_Richardson_!$A:$Z,26,FALSE)</f>
        <v>0</v>
      </c>
      <c r="R110">
        <f t="shared" si="4"/>
        <v>0</v>
      </c>
      <c r="S110">
        <f t="shared" si="5"/>
        <v>0</v>
      </c>
      <c r="T110">
        <f t="shared" si="6"/>
        <v>0</v>
      </c>
      <c r="U110">
        <f t="shared" si="7"/>
        <v>0</v>
      </c>
    </row>
    <row r="111" spans="1:21" x14ac:dyDescent="0.25">
      <c r="A111">
        <v>43110</v>
      </c>
      <c r="B111">
        <v>210</v>
      </c>
      <c r="C111">
        <v>0</v>
      </c>
      <c r="D111">
        <v>0</v>
      </c>
      <c r="E111">
        <v>0</v>
      </c>
      <c r="F111">
        <f>VLOOKUP(A111,[1]SE_SUMMIT_2032_US40!$A:$Y,23,FALSE)</f>
        <v>210</v>
      </c>
      <c r="G111">
        <f>VLOOKUP(A111,[1]SE_SUMMIT_2032_US40!$A:$Y,24,FALSE)</f>
        <v>0</v>
      </c>
      <c r="H111">
        <f>VLOOKUP(A111,[1]SE_SUMMIT_2032_US40!$A:$Y,25,FALSE)</f>
        <v>0</v>
      </c>
      <c r="I111">
        <f>VLOOKUP(A111,[1]SE_SUMMIT_2032_US40!$A:$Z,26,FALSE)</f>
        <v>0</v>
      </c>
      <c r="J111">
        <f>VLOOKUP(A111,[2]SE_SUMMIT_2042_US40!$A:$Y,23,FALSE)</f>
        <v>210</v>
      </c>
      <c r="K111">
        <f>VLOOKUP(A111,[2]SE_SUMMIT_2042_US40!$A:$Y,24,FALSE)</f>
        <v>0</v>
      </c>
      <c r="L111">
        <f>VLOOKUP(A111,[2]SE_SUMMIT_2042_US40!$A:$Y,25,FALSE)</f>
        <v>0</v>
      </c>
      <c r="M111">
        <f>VLOOKUP(A111,[2]SE_SUMMIT_2042_US40!$A:$Z,26,FALSE)</f>
        <v>0</v>
      </c>
      <c r="N111">
        <f>VLOOKUP(A111,[3]SE_SUMMIT_2050_US40_Richardson_!$A:$Y,23,FALSE)</f>
        <v>210</v>
      </c>
      <c r="O111">
        <f>VLOOKUP(A111,[3]SE_SUMMIT_2050_US40_Richardson_!$A:$Y,24,FALSE)</f>
        <v>0</v>
      </c>
      <c r="P111">
        <f>VLOOKUP(A111,[3]SE_SUMMIT_2050_US40_Richardson_!$A:$Y,25,FALSE)</f>
        <v>0</v>
      </c>
      <c r="Q111">
        <f>VLOOKUP(A111,[3]SE_SUMMIT_2050_US40_Richardson_!$A:$Z,26,FALSE)</f>
        <v>0</v>
      </c>
      <c r="R111">
        <f t="shared" si="4"/>
        <v>0</v>
      </c>
      <c r="S111">
        <f t="shared" si="5"/>
        <v>0</v>
      </c>
      <c r="T111">
        <f t="shared" si="6"/>
        <v>0</v>
      </c>
      <c r="U111">
        <f t="shared" si="7"/>
        <v>0</v>
      </c>
    </row>
    <row r="112" spans="1:21" x14ac:dyDescent="0.25">
      <c r="A112">
        <v>43111</v>
      </c>
      <c r="B112">
        <v>65</v>
      </c>
      <c r="C112">
        <v>0</v>
      </c>
      <c r="D112">
        <v>0</v>
      </c>
      <c r="E112">
        <v>0</v>
      </c>
      <c r="F112">
        <f>VLOOKUP(A112,[1]SE_SUMMIT_2032_US40!$A:$Y,23,FALSE)</f>
        <v>65</v>
      </c>
      <c r="G112">
        <f>VLOOKUP(A112,[1]SE_SUMMIT_2032_US40!$A:$Y,24,FALSE)</f>
        <v>0</v>
      </c>
      <c r="H112">
        <f>VLOOKUP(A112,[1]SE_SUMMIT_2032_US40!$A:$Y,25,FALSE)</f>
        <v>0</v>
      </c>
      <c r="I112">
        <f>VLOOKUP(A112,[1]SE_SUMMIT_2032_US40!$A:$Z,26,FALSE)</f>
        <v>0</v>
      </c>
      <c r="J112">
        <f>VLOOKUP(A112,[2]SE_SUMMIT_2042_US40!$A:$Y,23,FALSE)</f>
        <v>65</v>
      </c>
      <c r="K112">
        <f>VLOOKUP(A112,[2]SE_SUMMIT_2042_US40!$A:$Y,24,FALSE)</f>
        <v>0</v>
      </c>
      <c r="L112">
        <f>VLOOKUP(A112,[2]SE_SUMMIT_2042_US40!$A:$Y,25,FALSE)</f>
        <v>0</v>
      </c>
      <c r="M112">
        <f>VLOOKUP(A112,[2]SE_SUMMIT_2042_US40!$A:$Z,26,FALSE)</f>
        <v>0</v>
      </c>
      <c r="N112">
        <f>VLOOKUP(A112,[3]SE_SUMMIT_2050_US40_Richardson_!$A:$Y,23,FALSE)</f>
        <v>65</v>
      </c>
      <c r="O112">
        <f>VLOOKUP(A112,[3]SE_SUMMIT_2050_US40_Richardson_!$A:$Y,24,FALSE)</f>
        <v>0</v>
      </c>
      <c r="P112">
        <f>VLOOKUP(A112,[3]SE_SUMMIT_2050_US40_Richardson_!$A:$Y,25,FALSE)</f>
        <v>0</v>
      </c>
      <c r="Q112">
        <f>VLOOKUP(A112,[3]SE_SUMMIT_2050_US40_Richardson_!$A:$Z,26,FALSE)</f>
        <v>0</v>
      </c>
      <c r="R112">
        <f t="shared" si="4"/>
        <v>0</v>
      </c>
      <c r="S112">
        <f t="shared" si="5"/>
        <v>0</v>
      </c>
      <c r="T112">
        <f t="shared" si="6"/>
        <v>0</v>
      </c>
      <c r="U112">
        <f t="shared" si="7"/>
        <v>0</v>
      </c>
    </row>
    <row r="113" spans="1:24" x14ac:dyDescent="0.25">
      <c r="A113">
        <v>43112</v>
      </c>
      <c r="B113">
        <v>23</v>
      </c>
      <c r="C113">
        <v>0</v>
      </c>
      <c r="D113">
        <v>0</v>
      </c>
      <c r="E113">
        <v>0</v>
      </c>
      <c r="F113">
        <f>VLOOKUP(A113,[1]SE_SUMMIT_2032_US40!$A:$Y,23,FALSE)</f>
        <v>23</v>
      </c>
      <c r="G113">
        <f>VLOOKUP(A113,[1]SE_SUMMIT_2032_US40!$A:$Y,24,FALSE)</f>
        <v>0</v>
      </c>
      <c r="H113">
        <f>VLOOKUP(A113,[1]SE_SUMMIT_2032_US40!$A:$Y,25,FALSE)</f>
        <v>0</v>
      </c>
      <c r="I113">
        <f>VLOOKUP(A113,[1]SE_SUMMIT_2032_US40!$A:$Z,26,FALSE)</f>
        <v>0</v>
      </c>
      <c r="J113">
        <f>VLOOKUP(A113,[2]SE_SUMMIT_2042_US40!$A:$Y,23,FALSE)</f>
        <v>23</v>
      </c>
      <c r="K113">
        <f>VLOOKUP(A113,[2]SE_SUMMIT_2042_US40!$A:$Y,24,FALSE)</f>
        <v>0</v>
      </c>
      <c r="L113">
        <f>VLOOKUP(A113,[2]SE_SUMMIT_2042_US40!$A:$Y,25,FALSE)</f>
        <v>0</v>
      </c>
      <c r="M113">
        <f>VLOOKUP(A113,[2]SE_SUMMIT_2042_US40!$A:$Z,26,FALSE)</f>
        <v>0</v>
      </c>
      <c r="N113">
        <f>VLOOKUP(A113,[3]SE_SUMMIT_2050_US40_Richardson_!$A:$Y,23,FALSE)</f>
        <v>23</v>
      </c>
      <c r="O113">
        <f>VLOOKUP(A113,[3]SE_SUMMIT_2050_US40_Richardson_!$A:$Y,24,FALSE)</f>
        <v>0</v>
      </c>
      <c r="P113">
        <f>VLOOKUP(A113,[3]SE_SUMMIT_2050_US40_Richardson_!$A:$Y,25,FALSE)</f>
        <v>0</v>
      </c>
      <c r="Q113">
        <f>VLOOKUP(A113,[3]SE_SUMMIT_2050_US40_Richardson_!$A:$Z,26,FALSE)</f>
        <v>0</v>
      </c>
      <c r="R113">
        <f t="shared" si="4"/>
        <v>0</v>
      </c>
      <c r="S113">
        <f t="shared" si="5"/>
        <v>0</v>
      </c>
      <c r="T113">
        <f t="shared" si="6"/>
        <v>0</v>
      </c>
      <c r="U113">
        <f t="shared" si="7"/>
        <v>0</v>
      </c>
    </row>
    <row r="114" spans="1:24" x14ac:dyDescent="0.25">
      <c r="A114">
        <v>43113</v>
      </c>
      <c r="B114">
        <v>2</v>
      </c>
      <c r="C114">
        <v>0</v>
      </c>
      <c r="D114">
        <v>0</v>
      </c>
      <c r="E114">
        <v>0</v>
      </c>
      <c r="F114">
        <f>VLOOKUP(A114,[1]SE_SUMMIT_2032_US40!$A:$Y,23,FALSE)</f>
        <v>2</v>
      </c>
      <c r="G114">
        <f>VLOOKUP(A114,[1]SE_SUMMIT_2032_US40!$A:$Y,24,FALSE)</f>
        <v>0</v>
      </c>
      <c r="H114">
        <f>VLOOKUP(A114,[1]SE_SUMMIT_2032_US40!$A:$Y,25,FALSE)</f>
        <v>0</v>
      </c>
      <c r="I114">
        <f>VLOOKUP(A114,[1]SE_SUMMIT_2032_US40!$A:$Z,26,FALSE)</f>
        <v>0</v>
      </c>
      <c r="J114">
        <f>VLOOKUP(A114,[2]SE_SUMMIT_2042_US40!$A:$Y,23,FALSE)</f>
        <v>2</v>
      </c>
      <c r="K114">
        <f>VLOOKUP(A114,[2]SE_SUMMIT_2042_US40!$A:$Y,24,FALSE)</f>
        <v>0</v>
      </c>
      <c r="L114">
        <f>VLOOKUP(A114,[2]SE_SUMMIT_2042_US40!$A:$Y,25,FALSE)</f>
        <v>0</v>
      </c>
      <c r="M114">
        <f>VLOOKUP(A114,[2]SE_SUMMIT_2042_US40!$A:$Z,26,FALSE)</f>
        <v>0</v>
      </c>
      <c r="N114">
        <f>VLOOKUP(A114,[3]SE_SUMMIT_2050_US40_Richardson_!$A:$Y,23,FALSE)</f>
        <v>2</v>
      </c>
      <c r="O114">
        <f>VLOOKUP(A114,[3]SE_SUMMIT_2050_US40_Richardson_!$A:$Y,24,FALSE)</f>
        <v>0</v>
      </c>
      <c r="P114">
        <f>VLOOKUP(A114,[3]SE_SUMMIT_2050_US40_Richardson_!$A:$Y,25,FALSE)</f>
        <v>0</v>
      </c>
      <c r="Q114">
        <f>VLOOKUP(A114,[3]SE_SUMMIT_2050_US40_Richardson_!$A:$Z,26,FALSE)</f>
        <v>0</v>
      </c>
      <c r="R114">
        <f t="shared" si="4"/>
        <v>0</v>
      </c>
      <c r="S114">
        <f t="shared" si="5"/>
        <v>0</v>
      </c>
      <c r="T114">
        <f t="shared" si="6"/>
        <v>0</v>
      </c>
      <c r="U114">
        <f t="shared" si="7"/>
        <v>0</v>
      </c>
    </row>
    <row r="115" spans="1:24" x14ac:dyDescent="0.25">
      <c r="A115">
        <v>43114</v>
      </c>
      <c r="B115">
        <v>20</v>
      </c>
      <c r="C115">
        <v>0</v>
      </c>
      <c r="D115">
        <v>0</v>
      </c>
      <c r="E115">
        <v>0</v>
      </c>
      <c r="F115">
        <f>VLOOKUP(A115,[1]SE_SUMMIT_2032_US40!$A:$Y,23,FALSE)</f>
        <v>20</v>
      </c>
      <c r="G115">
        <f>VLOOKUP(A115,[1]SE_SUMMIT_2032_US40!$A:$Y,24,FALSE)</f>
        <v>0</v>
      </c>
      <c r="H115">
        <f>VLOOKUP(A115,[1]SE_SUMMIT_2032_US40!$A:$Y,25,FALSE)</f>
        <v>0</v>
      </c>
      <c r="I115">
        <f>VLOOKUP(A115,[1]SE_SUMMIT_2032_US40!$A:$Z,26,FALSE)</f>
        <v>0</v>
      </c>
      <c r="J115">
        <f>VLOOKUP(A115,[2]SE_SUMMIT_2042_US40!$A:$Y,23,FALSE)</f>
        <v>20</v>
      </c>
      <c r="K115">
        <f>VLOOKUP(A115,[2]SE_SUMMIT_2042_US40!$A:$Y,24,FALSE)</f>
        <v>0</v>
      </c>
      <c r="L115">
        <f>VLOOKUP(A115,[2]SE_SUMMIT_2042_US40!$A:$Y,25,FALSE)</f>
        <v>0</v>
      </c>
      <c r="M115">
        <f>VLOOKUP(A115,[2]SE_SUMMIT_2042_US40!$A:$Z,26,FALSE)</f>
        <v>0</v>
      </c>
      <c r="N115">
        <f>VLOOKUP(A115,[3]SE_SUMMIT_2050_US40_Richardson_!$A:$Y,23,FALSE)</f>
        <v>20</v>
      </c>
      <c r="O115">
        <f>VLOOKUP(A115,[3]SE_SUMMIT_2050_US40_Richardson_!$A:$Y,24,FALSE)</f>
        <v>0</v>
      </c>
      <c r="P115">
        <f>VLOOKUP(A115,[3]SE_SUMMIT_2050_US40_Richardson_!$A:$Y,25,FALSE)</f>
        <v>0</v>
      </c>
      <c r="Q115">
        <f>VLOOKUP(A115,[3]SE_SUMMIT_2050_US40_Richardson_!$A:$Z,26,FALSE)</f>
        <v>0</v>
      </c>
      <c r="R115">
        <f t="shared" si="4"/>
        <v>0</v>
      </c>
      <c r="S115">
        <f t="shared" si="5"/>
        <v>0</v>
      </c>
      <c r="T115">
        <f t="shared" si="6"/>
        <v>0</v>
      </c>
      <c r="U115">
        <f t="shared" si="7"/>
        <v>0</v>
      </c>
    </row>
    <row r="116" spans="1:24" x14ac:dyDescent="0.25">
      <c r="A116">
        <v>43115</v>
      </c>
      <c r="B116">
        <v>0</v>
      </c>
      <c r="C116">
        <v>0</v>
      </c>
      <c r="D116">
        <v>0</v>
      </c>
      <c r="E116">
        <v>0</v>
      </c>
      <c r="F116">
        <f>VLOOKUP(A116,[1]SE_SUMMIT_2032_US40!$A:$Y,23,FALSE)</f>
        <v>0</v>
      </c>
      <c r="G116">
        <f>VLOOKUP(A116,[1]SE_SUMMIT_2032_US40!$A:$Y,24,FALSE)</f>
        <v>0</v>
      </c>
      <c r="H116">
        <f>VLOOKUP(A116,[1]SE_SUMMIT_2032_US40!$A:$Y,25,FALSE)</f>
        <v>0</v>
      </c>
      <c r="I116">
        <f>VLOOKUP(A116,[1]SE_SUMMIT_2032_US40!$A:$Z,26,FALSE)</f>
        <v>0</v>
      </c>
      <c r="J116">
        <f>VLOOKUP(A116,[2]SE_SUMMIT_2042_US40!$A:$Y,23,FALSE)</f>
        <v>0</v>
      </c>
      <c r="K116">
        <f>VLOOKUP(A116,[2]SE_SUMMIT_2042_US40!$A:$Y,24,FALSE)</f>
        <v>0</v>
      </c>
      <c r="L116">
        <f>VLOOKUP(A116,[2]SE_SUMMIT_2042_US40!$A:$Y,25,FALSE)</f>
        <v>0</v>
      </c>
      <c r="M116">
        <f>VLOOKUP(A116,[2]SE_SUMMIT_2042_US40!$A:$Z,26,FALSE)</f>
        <v>0</v>
      </c>
      <c r="N116">
        <f>VLOOKUP(A116,[3]SE_SUMMIT_2050_US40_Richardson_!$A:$Y,23,FALSE)</f>
        <v>0</v>
      </c>
      <c r="O116">
        <f>VLOOKUP(A116,[3]SE_SUMMIT_2050_US40_Richardson_!$A:$Y,24,FALSE)</f>
        <v>0</v>
      </c>
      <c r="P116">
        <f>VLOOKUP(A116,[3]SE_SUMMIT_2050_US40_Richardson_!$A:$Y,25,FALSE)</f>
        <v>0</v>
      </c>
      <c r="Q116">
        <f>VLOOKUP(A116,[3]SE_SUMMIT_2050_US40_Richardson_!$A:$Z,26,FALSE)</f>
        <v>0</v>
      </c>
      <c r="R116">
        <f t="shared" si="4"/>
        <v>0</v>
      </c>
      <c r="S116">
        <f t="shared" si="5"/>
        <v>0</v>
      </c>
      <c r="T116">
        <f t="shared" si="6"/>
        <v>0</v>
      </c>
      <c r="U116">
        <f t="shared" si="7"/>
        <v>0</v>
      </c>
    </row>
    <row r="117" spans="1:24" x14ac:dyDescent="0.25">
      <c r="A117">
        <v>43116</v>
      </c>
      <c r="B117">
        <v>6</v>
      </c>
      <c r="C117">
        <v>0</v>
      </c>
      <c r="D117">
        <v>0</v>
      </c>
      <c r="E117">
        <v>0</v>
      </c>
      <c r="F117">
        <f>VLOOKUP(A117,[1]SE_SUMMIT_2032_US40!$A:$Y,23,FALSE)</f>
        <v>6</v>
      </c>
      <c r="G117">
        <f>VLOOKUP(A117,[1]SE_SUMMIT_2032_US40!$A:$Y,24,FALSE)</f>
        <v>0</v>
      </c>
      <c r="H117">
        <f>VLOOKUP(A117,[1]SE_SUMMIT_2032_US40!$A:$Y,25,FALSE)</f>
        <v>0</v>
      </c>
      <c r="I117">
        <f>VLOOKUP(A117,[1]SE_SUMMIT_2032_US40!$A:$Z,26,FALSE)</f>
        <v>0</v>
      </c>
      <c r="J117">
        <f>VLOOKUP(A117,[2]SE_SUMMIT_2042_US40!$A:$Y,23,FALSE)</f>
        <v>6</v>
      </c>
      <c r="K117">
        <f>VLOOKUP(A117,[2]SE_SUMMIT_2042_US40!$A:$Y,24,FALSE)</f>
        <v>0</v>
      </c>
      <c r="L117">
        <f>VLOOKUP(A117,[2]SE_SUMMIT_2042_US40!$A:$Y,25,FALSE)</f>
        <v>0</v>
      </c>
      <c r="M117">
        <f>VLOOKUP(A117,[2]SE_SUMMIT_2042_US40!$A:$Z,26,FALSE)</f>
        <v>0</v>
      </c>
      <c r="N117">
        <f>VLOOKUP(A117,[3]SE_SUMMIT_2050_US40_Richardson_!$A:$Y,23,FALSE)</f>
        <v>6</v>
      </c>
      <c r="O117">
        <f>VLOOKUP(A117,[3]SE_SUMMIT_2050_US40_Richardson_!$A:$Y,24,FALSE)</f>
        <v>0</v>
      </c>
      <c r="P117">
        <f>VLOOKUP(A117,[3]SE_SUMMIT_2050_US40_Richardson_!$A:$Y,25,FALSE)</f>
        <v>0</v>
      </c>
      <c r="Q117">
        <f>VLOOKUP(A117,[3]SE_SUMMIT_2050_US40_Richardson_!$A:$Z,26,FALSE)</f>
        <v>0</v>
      </c>
      <c r="R117">
        <f t="shared" si="4"/>
        <v>0</v>
      </c>
      <c r="S117">
        <f t="shared" si="5"/>
        <v>0</v>
      </c>
      <c r="T117">
        <f t="shared" si="6"/>
        <v>0</v>
      </c>
      <c r="U117">
        <f t="shared" si="7"/>
        <v>0</v>
      </c>
    </row>
    <row r="118" spans="1:24" x14ac:dyDescent="0.25">
      <c r="A118">
        <v>43117</v>
      </c>
      <c r="B118">
        <v>0</v>
      </c>
      <c r="C118">
        <v>0</v>
      </c>
      <c r="D118">
        <v>0</v>
      </c>
      <c r="E118">
        <v>0</v>
      </c>
      <c r="F118">
        <f>VLOOKUP(A118,[1]SE_SUMMIT_2032_US40!$A:$Y,23,FALSE)</f>
        <v>0</v>
      </c>
      <c r="G118">
        <f>VLOOKUP(A118,[1]SE_SUMMIT_2032_US40!$A:$Y,24,FALSE)</f>
        <v>0</v>
      </c>
      <c r="H118">
        <f>VLOOKUP(A118,[1]SE_SUMMIT_2032_US40!$A:$Y,25,FALSE)</f>
        <v>0</v>
      </c>
      <c r="I118">
        <f>VLOOKUP(A118,[1]SE_SUMMIT_2032_US40!$A:$Z,26,FALSE)</f>
        <v>0</v>
      </c>
      <c r="J118">
        <f>VLOOKUP(A118,[2]SE_SUMMIT_2042_US40!$A:$Y,23,FALSE)</f>
        <v>0</v>
      </c>
      <c r="K118">
        <f>VLOOKUP(A118,[2]SE_SUMMIT_2042_US40!$A:$Y,24,FALSE)</f>
        <v>0</v>
      </c>
      <c r="L118">
        <f>VLOOKUP(A118,[2]SE_SUMMIT_2042_US40!$A:$Y,25,FALSE)</f>
        <v>0</v>
      </c>
      <c r="M118">
        <f>VLOOKUP(A118,[2]SE_SUMMIT_2042_US40!$A:$Z,26,FALSE)</f>
        <v>0</v>
      </c>
      <c r="N118">
        <f>VLOOKUP(A118,[3]SE_SUMMIT_2050_US40_Richardson_!$A:$Y,23,FALSE)</f>
        <v>0</v>
      </c>
      <c r="O118">
        <f>VLOOKUP(A118,[3]SE_SUMMIT_2050_US40_Richardson_!$A:$Y,24,FALSE)</f>
        <v>0</v>
      </c>
      <c r="P118">
        <f>VLOOKUP(A118,[3]SE_SUMMIT_2050_US40_Richardson_!$A:$Y,25,FALSE)</f>
        <v>0</v>
      </c>
      <c r="Q118">
        <f>VLOOKUP(A118,[3]SE_SUMMIT_2050_US40_Richardson_!$A:$Z,26,FALSE)</f>
        <v>0</v>
      </c>
      <c r="R118">
        <f t="shared" si="4"/>
        <v>0</v>
      </c>
      <c r="S118">
        <f t="shared" si="5"/>
        <v>0</v>
      </c>
      <c r="T118">
        <f t="shared" si="6"/>
        <v>0</v>
      </c>
      <c r="U118">
        <f t="shared" si="7"/>
        <v>0</v>
      </c>
    </row>
    <row r="119" spans="1:24" x14ac:dyDescent="0.25">
      <c r="A119">
        <v>43118</v>
      </c>
      <c r="B119">
        <v>0</v>
      </c>
      <c r="C119">
        <v>0</v>
      </c>
      <c r="D119">
        <v>0</v>
      </c>
      <c r="E119">
        <v>0</v>
      </c>
      <c r="F119">
        <f>VLOOKUP(A119,[1]SE_SUMMIT_2032_US40!$A:$Y,23,FALSE)</f>
        <v>0</v>
      </c>
      <c r="G119">
        <f>VLOOKUP(A119,[1]SE_SUMMIT_2032_US40!$A:$Y,24,FALSE)</f>
        <v>0</v>
      </c>
      <c r="H119">
        <f>VLOOKUP(A119,[1]SE_SUMMIT_2032_US40!$A:$Y,25,FALSE)</f>
        <v>0</v>
      </c>
      <c r="I119">
        <f>VLOOKUP(A119,[1]SE_SUMMIT_2032_US40!$A:$Z,26,FALSE)</f>
        <v>0</v>
      </c>
      <c r="J119">
        <f>VLOOKUP(A119,[2]SE_SUMMIT_2042_US40!$A:$Y,23,FALSE)</f>
        <v>0</v>
      </c>
      <c r="K119">
        <f>VLOOKUP(A119,[2]SE_SUMMIT_2042_US40!$A:$Y,24,FALSE)</f>
        <v>0</v>
      </c>
      <c r="L119">
        <f>VLOOKUP(A119,[2]SE_SUMMIT_2042_US40!$A:$Y,25,FALSE)</f>
        <v>0</v>
      </c>
      <c r="M119">
        <f>VLOOKUP(A119,[2]SE_SUMMIT_2042_US40!$A:$Z,26,FALSE)</f>
        <v>0</v>
      </c>
      <c r="N119">
        <f>VLOOKUP(A119,[3]SE_SUMMIT_2050_US40_Richardson_!$A:$Y,23,FALSE)</f>
        <v>0</v>
      </c>
      <c r="O119">
        <f>VLOOKUP(A119,[3]SE_SUMMIT_2050_US40_Richardson_!$A:$Y,24,FALSE)</f>
        <v>0</v>
      </c>
      <c r="P119">
        <f>VLOOKUP(A119,[3]SE_SUMMIT_2050_US40_Richardson_!$A:$Y,25,FALSE)</f>
        <v>0</v>
      </c>
      <c r="Q119">
        <f>VLOOKUP(A119,[3]SE_SUMMIT_2050_US40_Richardson_!$A:$Z,26,FALSE)</f>
        <v>0</v>
      </c>
      <c r="R119">
        <f t="shared" si="4"/>
        <v>0</v>
      </c>
      <c r="S119">
        <f t="shared" si="5"/>
        <v>0</v>
      </c>
      <c r="T119">
        <f t="shared" si="6"/>
        <v>0</v>
      </c>
      <c r="U119">
        <f t="shared" si="7"/>
        <v>0</v>
      </c>
    </row>
    <row r="120" spans="1:24" x14ac:dyDescent="0.25">
      <c r="A120">
        <v>43119</v>
      </c>
      <c r="B120">
        <v>32</v>
      </c>
      <c r="C120">
        <v>0</v>
      </c>
      <c r="D120">
        <v>0</v>
      </c>
      <c r="E120">
        <v>0</v>
      </c>
      <c r="F120">
        <f>VLOOKUP(A120,[1]SE_SUMMIT_2032_US40!$A:$Y,23,FALSE)</f>
        <v>32</v>
      </c>
      <c r="G120">
        <f>VLOOKUP(A120,[1]SE_SUMMIT_2032_US40!$A:$Y,24,FALSE)</f>
        <v>0</v>
      </c>
      <c r="H120">
        <f>VLOOKUP(A120,[1]SE_SUMMIT_2032_US40!$A:$Y,25,FALSE)</f>
        <v>0</v>
      </c>
      <c r="I120">
        <f>VLOOKUP(A120,[1]SE_SUMMIT_2032_US40!$A:$Z,26,FALSE)</f>
        <v>0</v>
      </c>
      <c r="J120">
        <f>VLOOKUP(A120,[2]SE_SUMMIT_2042_US40!$A:$Y,23,FALSE)</f>
        <v>32</v>
      </c>
      <c r="K120">
        <f>VLOOKUP(A120,[2]SE_SUMMIT_2042_US40!$A:$Y,24,FALSE)</f>
        <v>0</v>
      </c>
      <c r="L120">
        <f>VLOOKUP(A120,[2]SE_SUMMIT_2042_US40!$A:$Y,25,FALSE)</f>
        <v>0</v>
      </c>
      <c r="M120">
        <f>VLOOKUP(A120,[2]SE_SUMMIT_2042_US40!$A:$Z,26,FALSE)</f>
        <v>0</v>
      </c>
      <c r="N120">
        <f>VLOOKUP(A120,[3]SE_SUMMIT_2050_US40_Richardson_!$A:$Y,23,FALSE)</f>
        <v>32</v>
      </c>
      <c r="O120">
        <f>VLOOKUP(A120,[3]SE_SUMMIT_2050_US40_Richardson_!$A:$Y,24,FALSE)</f>
        <v>0</v>
      </c>
      <c r="P120">
        <f>VLOOKUP(A120,[3]SE_SUMMIT_2050_US40_Richardson_!$A:$Y,25,FALSE)</f>
        <v>0</v>
      </c>
      <c r="Q120">
        <f>VLOOKUP(A120,[3]SE_SUMMIT_2050_US40_Richardson_!$A:$Z,26,FALSE)</f>
        <v>0</v>
      </c>
      <c r="R120">
        <f t="shared" si="4"/>
        <v>0</v>
      </c>
      <c r="S120">
        <f t="shared" si="5"/>
        <v>0</v>
      </c>
      <c r="T120">
        <f t="shared" si="6"/>
        <v>0</v>
      </c>
      <c r="U120">
        <f t="shared" si="7"/>
        <v>0</v>
      </c>
    </row>
    <row r="121" spans="1:24" x14ac:dyDescent="0.25">
      <c r="A121">
        <v>43120</v>
      </c>
      <c r="B121">
        <v>123</v>
      </c>
      <c r="C121">
        <v>0</v>
      </c>
      <c r="D121">
        <v>0</v>
      </c>
      <c r="E121">
        <v>0</v>
      </c>
      <c r="F121">
        <f>VLOOKUP(A121,[1]SE_SUMMIT_2032_US40!$A:$Y,23,FALSE)</f>
        <v>123</v>
      </c>
      <c r="G121">
        <f>VLOOKUP(A121,[1]SE_SUMMIT_2032_US40!$A:$Y,24,FALSE)</f>
        <v>0</v>
      </c>
      <c r="H121">
        <f>VLOOKUP(A121,[1]SE_SUMMIT_2032_US40!$A:$Y,25,FALSE)</f>
        <v>0</v>
      </c>
      <c r="I121">
        <f>VLOOKUP(A121,[1]SE_SUMMIT_2032_US40!$A:$Z,26,FALSE)</f>
        <v>0</v>
      </c>
      <c r="J121">
        <f>VLOOKUP(A121,[2]SE_SUMMIT_2042_US40!$A:$Y,23,FALSE)</f>
        <v>123</v>
      </c>
      <c r="K121">
        <f>VLOOKUP(A121,[2]SE_SUMMIT_2042_US40!$A:$Y,24,FALSE)</f>
        <v>0</v>
      </c>
      <c r="L121">
        <f>VLOOKUP(A121,[2]SE_SUMMIT_2042_US40!$A:$Y,25,FALSE)</f>
        <v>0</v>
      </c>
      <c r="M121">
        <f>VLOOKUP(A121,[2]SE_SUMMIT_2042_US40!$A:$Z,26,FALSE)</f>
        <v>0</v>
      </c>
      <c r="N121">
        <f>VLOOKUP(A121,[3]SE_SUMMIT_2050_US40_Richardson_!$A:$Y,23,FALSE)</f>
        <v>123</v>
      </c>
      <c r="O121">
        <f>VLOOKUP(A121,[3]SE_SUMMIT_2050_US40_Richardson_!$A:$Y,24,FALSE)</f>
        <v>0</v>
      </c>
      <c r="P121">
        <f>VLOOKUP(A121,[3]SE_SUMMIT_2050_US40_Richardson_!$A:$Y,25,FALSE)</f>
        <v>0</v>
      </c>
      <c r="Q121">
        <f>VLOOKUP(A121,[3]SE_SUMMIT_2050_US40_Richardson_!$A:$Z,26,FALSE)</f>
        <v>0</v>
      </c>
      <c r="R121">
        <f t="shared" si="4"/>
        <v>0</v>
      </c>
      <c r="S121">
        <f t="shared" si="5"/>
        <v>0</v>
      </c>
      <c r="T121">
        <f t="shared" si="6"/>
        <v>0</v>
      </c>
      <c r="U121">
        <f t="shared" si="7"/>
        <v>0</v>
      </c>
    </row>
    <row r="122" spans="1:24" x14ac:dyDescent="0.25">
      <c r="A122">
        <v>43121</v>
      </c>
      <c r="B122">
        <v>0</v>
      </c>
      <c r="C122">
        <v>0</v>
      </c>
      <c r="D122">
        <v>0</v>
      </c>
      <c r="E122">
        <v>0</v>
      </c>
      <c r="F122">
        <f>VLOOKUP(A122,[1]SE_SUMMIT_2032_US40!$A:$Y,23,FALSE)</f>
        <v>0</v>
      </c>
      <c r="G122">
        <f>VLOOKUP(A122,[1]SE_SUMMIT_2032_US40!$A:$Y,24,FALSE)</f>
        <v>0</v>
      </c>
      <c r="H122">
        <f>VLOOKUP(A122,[1]SE_SUMMIT_2032_US40!$A:$Y,25,FALSE)</f>
        <v>0</v>
      </c>
      <c r="I122">
        <f>VLOOKUP(A122,[1]SE_SUMMIT_2032_US40!$A:$Z,26,FALSE)</f>
        <v>0</v>
      </c>
      <c r="J122">
        <f>VLOOKUP(A122,[2]SE_SUMMIT_2042_US40!$A:$Y,23,FALSE)</f>
        <v>0</v>
      </c>
      <c r="K122">
        <f>VLOOKUP(A122,[2]SE_SUMMIT_2042_US40!$A:$Y,24,FALSE)</f>
        <v>0</v>
      </c>
      <c r="L122">
        <f>VLOOKUP(A122,[2]SE_SUMMIT_2042_US40!$A:$Y,25,FALSE)</f>
        <v>0</v>
      </c>
      <c r="M122">
        <f>VLOOKUP(A122,[2]SE_SUMMIT_2042_US40!$A:$Z,26,FALSE)</f>
        <v>0</v>
      </c>
      <c r="N122">
        <f>VLOOKUP(A122,[3]SE_SUMMIT_2050_US40_Richardson_!$A:$Y,23,FALSE)</f>
        <v>0</v>
      </c>
      <c r="O122">
        <f>VLOOKUP(A122,[3]SE_SUMMIT_2050_US40_Richardson_!$A:$Y,24,FALSE)</f>
        <v>0</v>
      </c>
      <c r="P122">
        <f>VLOOKUP(A122,[3]SE_SUMMIT_2050_US40_Richardson_!$A:$Y,25,FALSE)</f>
        <v>0</v>
      </c>
      <c r="Q122">
        <f>VLOOKUP(A122,[3]SE_SUMMIT_2050_US40_Richardson_!$A:$Z,26,FALSE)</f>
        <v>0</v>
      </c>
      <c r="R122">
        <f t="shared" si="4"/>
        <v>0</v>
      </c>
      <c r="S122">
        <f t="shared" si="5"/>
        <v>0</v>
      </c>
      <c r="T122">
        <f t="shared" si="6"/>
        <v>0</v>
      </c>
      <c r="U122">
        <f t="shared" si="7"/>
        <v>0</v>
      </c>
    </row>
    <row r="123" spans="1:24" x14ac:dyDescent="0.25">
      <c r="A123">
        <v>43122</v>
      </c>
      <c r="B123">
        <v>0</v>
      </c>
      <c r="C123">
        <v>0</v>
      </c>
      <c r="D123">
        <v>0</v>
      </c>
      <c r="E123">
        <v>0</v>
      </c>
      <c r="F123">
        <f>VLOOKUP(A123,[1]SE_SUMMIT_2032_US40!$A:$Y,23,FALSE)</f>
        <v>0</v>
      </c>
      <c r="G123">
        <f>VLOOKUP(A123,[1]SE_SUMMIT_2032_US40!$A:$Y,24,FALSE)</f>
        <v>0</v>
      </c>
      <c r="H123">
        <f>VLOOKUP(A123,[1]SE_SUMMIT_2032_US40!$A:$Y,25,FALSE)</f>
        <v>0</v>
      </c>
      <c r="I123">
        <f>VLOOKUP(A123,[1]SE_SUMMIT_2032_US40!$A:$Z,26,FALSE)</f>
        <v>0</v>
      </c>
      <c r="J123">
        <f>VLOOKUP(A123,[2]SE_SUMMIT_2042_US40!$A:$Y,23,FALSE)</f>
        <v>0</v>
      </c>
      <c r="K123">
        <f>VLOOKUP(A123,[2]SE_SUMMIT_2042_US40!$A:$Y,24,FALSE)</f>
        <v>0</v>
      </c>
      <c r="L123">
        <f>VLOOKUP(A123,[2]SE_SUMMIT_2042_US40!$A:$Y,25,FALSE)</f>
        <v>0</v>
      </c>
      <c r="M123">
        <f>VLOOKUP(A123,[2]SE_SUMMIT_2042_US40!$A:$Z,26,FALSE)</f>
        <v>0</v>
      </c>
      <c r="N123">
        <f>VLOOKUP(A123,[3]SE_SUMMIT_2050_US40_Richardson_!$A:$Y,23,FALSE)</f>
        <v>0</v>
      </c>
      <c r="O123">
        <f>VLOOKUP(A123,[3]SE_SUMMIT_2050_US40_Richardson_!$A:$Y,24,FALSE)</f>
        <v>0</v>
      </c>
      <c r="P123">
        <f>VLOOKUP(A123,[3]SE_SUMMIT_2050_US40_Richardson_!$A:$Y,25,FALSE)</f>
        <v>0</v>
      </c>
      <c r="Q123">
        <f>VLOOKUP(A123,[3]SE_SUMMIT_2050_US40_Richardson_!$A:$Z,26,FALSE)</f>
        <v>0</v>
      </c>
      <c r="R123">
        <f t="shared" si="4"/>
        <v>0</v>
      </c>
      <c r="S123">
        <f t="shared" si="5"/>
        <v>0</v>
      </c>
      <c r="T123">
        <f t="shared" si="6"/>
        <v>0</v>
      </c>
      <c r="U123">
        <f t="shared" si="7"/>
        <v>0</v>
      </c>
    </row>
    <row r="124" spans="1:24" x14ac:dyDescent="0.25">
      <c r="A124">
        <v>43123</v>
      </c>
      <c r="B124">
        <v>0</v>
      </c>
      <c r="C124">
        <v>0</v>
      </c>
      <c r="D124">
        <v>0</v>
      </c>
      <c r="E124">
        <v>0</v>
      </c>
      <c r="F124">
        <f>VLOOKUP(A124,[1]SE_SUMMIT_2032_US40!$A:$Y,23,FALSE)</f>
        <v>0</v>
      </c>
      <c r="G124">
        <f>VLOOKUP(A124,[1]SE_SUMMIT_2032_US40!$A:$Y,24,FALSE)</f>
        <v>0</v>
      </c>
      <c r="H124">
        <f>VLOOKUP(A124,[1]SE_SUMMIT_2032_US40!$A:$Y,25,FALSE)</f>
        <v>0</v>
      </c>
      <c r="I124">
        <f>VLOOKUP(A124,[1]SE_SUMMIT_2032_US40!$A:$Z,26,FALSE)</f>
        <v>0</v>
      </c>
      <c r="J124">
        <f>VLOOKUP(A124,[2]SE_SUMMIT_2042_US40!$A:$Y,23,FALSE)</f>
        <v>0</v>
      </c>
      <c r="K124">
        <f>VLOOKUP(A124,[2]SE_SUMMIT_2042_US40!$A:$Y,24,FALSE)</f>
        <v>0</v>
      </c>
      <c r="L124">
        <f>VLOOKUP(A124,[2]SE_SUMMIT_2042_US40!$A:$Y,25,FALSE)</f>
        <v>0</v>
      </c>
      <c r="M124">
        <f>VLOOKUP(A124,[2]SE_SUMMIT_2042_US40!$A:$Z,26,FALSE)</f>
        <v>0</v>
      </c>
      <c r="N124">
        <f>VLOOKUP(A124,[3]SE_SUMMIT_2050_US40_Richardson_!$A:$Y,23,FALSE)</f>
        <v>0</v>
      </c>
      <c r="O124">
        <f>VLOOKUP(A124,[3]SE_SUMMIT_2050_US40_Richardson_!$A:$Y,24,FALSE)</f>
        <v>0</v>
      </c>
      <c r="P124">
        <f>VLOOKUP(A124,[3]SE_SUMMIT_2050_US40_Richardson_!$A:$Y,25,FALSE)</f>
        <v>0</v>
      </c>
      <c r="Q124">
        <f>VLOOKUP(A124,[3]SE_SUMMIT_2050_US40_Richardson_!$A:$Z,26,FALSE)</f>
        <v>0</v>
      </c>
      <c r="R124">
        <f t="shared" si="4"/>
        <v>0</v>
      </c>
      <c r="S124">
        <f t="shared" si="5"/>
        <v>0</v>
      </c>
      <c r="T124">
        <f t="shared" si="6"/>
        <v>0</v>
      </c>
      <c r="U124">
        <f t="shared" si="7"/>
        <v>0</v>
      </c>
    </row>
    <row r="125" spans="1:24" x14ac:dyDescent="0.25">
      <c r="A125">
        <v>43124</v>
      </c>
      <c r="B125">
        <v>0</v>
      </c>
      <c r="C125">
        <v>0</v>
      </c>
      <c r="D125">
        <v>0</v>
      </c>
      <c r="E125">
        <v>0</v>
      </c>
      <c r="F125">
        <f>VLOOKUP(A125,[1]SE_SUMMIT_2032_US40!$A:$Y,23,FALSE)</f>
        <v>0</v>
      </c>
      <c r="G125">
        <f>VLOOKUP(A125,[1]SE_SUMMIT_2032_US40!$A:$Y,24,FALSE)</f>
        <v>0</v>
      </c>
      <c r="H125">
        <f>VLOOKUP(A125,[1]SE_SUMMIT_2032_US40!$A:$Y,25,FALSE)</f>
        <v>0</v>
      </c>
      <c r="I125">
        <f>VLOOKUP(A125,[1]SE_SUMMIT_2032_US40!$A:$Z,26,FALSE)</f>
        <v>0</v>
      </c>
      <c r="J125">
        <f>VLOOKUP(A125,[2]SE_SUMMIT_2042_US40!$A:$Y,23,FALSE)</f>
        <v>0</v>
      </c>
      <c r="K125">
        <f>VLOOKUP(A125,[2]SE_SUMMIT_2042_US40!$A:$Y,24,FALSE)</f>
        <v>0</v>
      </c>
      <c r="L125">
        <f>VLOOKUP(A125,[2]SE_SUMMIT_2042_US40!$A:$Y,25,FALSE)</f>
        <v>0</v>
      </c>
      <c r="M125">
        <f>VLOOKUP(A125,[2]SE_SUMMIT_2042_US40!$A:$Z,26,FALSE)</f>
        <v>0</v>
      </c>
      <c r="N125">
        <f>VLOOKUP(A125,[3]SE_SUMMIT_2050_US40_Richardson_!$A:$Y,23,FALSE)</f>
        <v>0</v>
      </c>
      <c r="O125">
        <f>VLOOKUP(A125,[3]SE_SUMMIT_2050_US40_Richardson_!$A:$Y,24,FALSE)</f>
        <v>0</v>
      </c>
      <c r="P125">
        <f>VLOOKUP(A125,[3]SE_SUMMIT_2050_US40_Richardson_!$A:$Y,25,FALSE)</f>
        <v>0</v>
      </c>
      <c r="Q125">
        <f>VLOOKUP(A125,[3]SE_SUMMIT_2050_US40_Richardson_!$A:$Z,26,FALSE)</f>
        <v>0</v>
      </c>
      <c r="R125">
        <f t="shared" si="4"/>
        <v>0</v>
      </c>
      <c r="S125">
        <f t="shared" si="5"/>
        <v>0</v>
      </c>
      <c r="T125">
        <f t="shared" si="6"/>
        <v>0</v>
      </c>
      <c r="U125">
        <f t="shared" si="7"/>
        <v>0</v>
      </c>
    </row>
    <row r="126" spans="1:24" x14ac:dyDescent="0.25">
      <c r="A126">
        <v>43125</v>
      </c>
      <c r="B126">
        <v>0</v>
      </c>
      <c r="C126">
        <v>0</v>
      </c>
      <c r="D126">
        <v>0</v>
      </c>
      <c r="E126">
        <v>0</v>
      </c>
      <c r="F126">
        <f>VLOOKUP(A126,[1]SE_SUMMIT_2032_US40!$A:$Y,23,FALSE)</f>
        <v>0</v>
      </c>
      <c r="G126">
        <f>VLOOKUP(A126,[1]SE_SUMMIT_2032_US40!$A:$Y,24,FALSE)</f>
        <v>0</v>
      </c>
      <c r="H126">
        <f>VLOOKUP(A126,[1]SE_SUMMIT_2032_US40!$A:$Y,25,FALSE)</f>
        <v>100</v>
      </c>
      <c r="I126">
        <f>VLOOKUP(A126,[1]SE_SUMMIT_2032_US40!$A:$Z,26,FALSE)</f>
        <v>0</v>
      </c>
      <c r="J126">
        <f>VLOOKUP(A126,[2]SE_SUMMIT_2042_US40!$A:$Y,23,FALSE)</f>
        <v>0</v>
      </c>
      <c r="K126">
        <f>VLOOKUP(A126,[2]SE_SUMMIT_2042_US40!$A:$Y,24,FALSE)</f>
        <v>0</v>
      </c>
      <c r="L126">
        <f>VLOOKUP(A126,[2]SE_SUMMIT_2042_US40!$A:$Y,25,FALSE)</f>
        <v>100</v>
      </c>
      <c r="M126">
        <f>VLOOKUP(A126,[2]SE_SUMMIT_2042_US40!$A:$Z,26,FALSE)</f>
        <v>0</v>
      </c>
      <c r="N126">
        <f>VLOOKUP(A126,[3]SE_SUMMIT_2050_US40_Richardson_!$A:$Y,23,FALSE)</f>
        <v>0</v>
      </c>
      <c r="O126">
        <f>VLOOKUP(A126,[3]SE_SUMMIT_2050_US40_Richardson_!$A:$Y,24,FALSE)</f>
        <v>0</v>
      </c>
      <c r="P126">
        <f>VLOOKUP(A126,[3]SE_SUMMIT_2050_US40_Richardson_!$A:$Y,25,FALSE)</f>
        <v>100</v>
      </c>
      <c r="Q126">
        <f>VLOOKUP(A126,[3]SE_SUMMIT_2050_US40_Richardson_!$A:$Z,26,FALSE)</f>
        <v>0</v>
      </c>
      <c r="R126">
        <f t="shared" si="4"/>
        <v>0</v>
      </c>
      <c r="S126">
        <f t="shared" si="5"/>
        <v>0</v>
      </c>
      <c r="T126">
        <f t="shared" si="6"/>
        <v>100</v>
      </c>
      <c r="U126">
        <f t="shared" si="7"/>
        <v>0</v>
      </c>
    </row>
    <row r="127" spans="1:24" x14ac:dyDescent="0.25">
      <c r="A127">
        <v>43126</v>
      </c>
      <c r="B127">
        <v>0</v>
      </c>
      <c r="C127">
        <v>0</v>
      </c>
      <c r="D127">
        <v>0</v>
      </c>
      <c r="E127">
        <v>0</v>
      </c>
      <c r="F127">
        <f>VLOOKUP(A127,[1]SE_SUMMIT_2032_US40!$A:$Y,23,FALSE)</f>
        <v>0</v>
      </c>
      <c r="G127">
        <f>VLOOKUP(A127,[1]SE_SUMMIT_2032_US40!$A:$Y,24,FALSE)</f>
        <v>0</v>
      </c>
      <c r="H127">
        <f>VLOOKUP(A127,[1]SE_SUMMIT_2032_US40!$A:$Y,25,FALSE)</f>
        <v>0</v>
      </c>
      <c r="I127">
        <f>VLOOKUP(A127,[1]SE_SUMMIT_2032_US40!$A:$Z,26,FALSE)</f>
        <v>0</v>
      </c>
      <c r="J127">
        <f>VLOOKUP(A127,[2]SE_SUMMIT_2042_US40!$A:$Y,23,FALSE)</f>
        <v>0</v>
      </c>
      <c r="K127">
        <f>VLOOKUP(A127,[2]SE_SUMMIT_2042_US40!$A:$Y,24,FALSE)</f>
        <v>0</v>
      </c>
      <c r="L127">
        <f>VLOOKUP(A127,[2]SE_SUMMIT_2042_US40!$A:$Y,25,FALSE)</f>
        <v>0</v>
      </c>
      <c r="M127">
        <f>VLOOKUP(A127,[2]SE_SUMMIT_2042_US40!$A:$Z,26,FALSE)</f>
        <v>0</v>
      </c>
      <c r="N127">
        <f>VLOOKUP(A127,[3]SE_SUMMIT_2050_US40_Richardson_!$A:$Y,23,FALSE) +128</f>
        <v>245</v>
      </c>
      <c r="O127">
        <f>VLOOKUP(A127,[3]SE_SUMMIT_2050_US40_Richardson_!$A:$Y,24,FALSE)</f>
        <v>0</v>
      </c>
      <c r="P127">
        <f>VLOOKUP(A127,[3]SE_SUMMIT_2050_US40_Richardson_!$A:$Y,25,FALSE) + 241</f>
        <v>460</v>
      </c>
      <c r="Q127">
        <f>VLOOKUP(A127,[3]SE_SUMMIT_2050_US40_Richardson_!$A:$Z,26,FALSE)</f>
        <v>300</v>
      </c>
      <c r="R127">
        <f t="shared" si="4"/>
        <v>245</v>
      </c>
      <c r="S127">
        <f t="shared" si="5"/>
        <v>0</v>
      </c>
      <c r="T127">
        <f t="shared" si="6"/>
        <v>460</v>
      </c>
      <c r="U127">
        <f t="shared" si="7"/>
        <v>300</v>
      </c>
      <c r="W127">
        <f>P127/(P127+N127)</f>
        <v>0.65248226950354615</v>
      </c>
      <c r="X127">
        <f>(T127+R127)/2</f>
        <v>352.5</v>
      </c>
    </row>
    <row r="128" spans="1:24" x14ac:dyDescent="0.25">
      <c r="A128">
        <v>43127</v>
      </c>
      <c r="B128">
        <v>33</v>
      </c>
      <c r="C128">
        <v>0</v>
      </c>
      <c r="D128">
        <v>0</v>
      </c>
      <c r="E128">
        <v>0</v>
      </c>
      <c r="F128">
        <f>VLOOKUP(A128,[1]SE_SUMMIT_2032_US40!$A:$Y,23,FALSE)</f>
        <v>33</v>
      </c>
      <c r="G128">
        <f>VLOOKUP(A128,[1]SE_SUMMIT_2032_US40!$A:$Y,24,FALSE)</f>
        <v>0</v>
      </c>
      <c r="H128">
        <f>VLOOKUP(A128,[1]SE_SUMMIT_2032_US40!$A:$Y,25,FALSE)</f>
        <v>70</v>
      </c>
      <c r="I128">
        <f>VLOOKUP(A128,[1]SE_SUMMIT_2032_US40!$A:$Z,26,FALSE)</f>
        <v>0</v>
      </c>
      <c r="J128">
        <f>VLOOKUP(A128,[2]SE_SUMMIT_2042_US40!$A:$Y,23,FALSE)</f>
        <v>33</v>
      </c>
      <c r="K128">
        <f>VLOOKUP(A128,[2]SE_SUMMIT_2042_US40!$A:$Y,24,FALSE)</f>
        <v>0</v>
      </c>
      <c r="L128">
        <f>VLOOKUP(A128,[2]SE_SUMMIT_2042_US40!$A:$Y,25,FALSE)</f>
        <v>70</v>
      </c>
      <c r="M128">
        <f>VLOOKUP(A128,[2]SE_SUMMIT_2042_US40!$A:$Z,26,FALSE)</f>
        <v>0</v>
      </c>
      <c r="N128">
        <f>VLOOKUP(A128,[3]SE_SUMMIT_2050_US40_Richardson_!$A:$Y,23,FALSE)</f>
        <v>33</v>
      </c>
      <c r="O128">
        <f>VLOOKUP(A128,[3]SE_SUMMIT_2050_US40_Richardson_!$A:$Y,24,FALSE)</f>
        <v>0</v>
      </c>
      <c r="P128">
        <f>VLOOKUP(A128,[3]SE_SUMMIT_2050_US40_Richardson_!$A:$Y,25,FALSE)</f>
        <v>70</v>
      </c>
      <c r="Q128">
        <f>VLOOKUP(A128,[3]SE_SUMMIT_2050_US40_Richardson_!$A:$Z,26,FALSE)</f>
        <v>0</v>
      </c>
      <c r="R128">
        <f t="shared" si="4"/>
        <v>0</v>
      </c>
      <c r="S128">
        <f t="shared" si="5"/>
        <v>0</v>
      </c>
      <c r="T128">
        <f t="shared" si="6"/>
        <v>70</v>
      </c>
      <c r="U128">
        <f t="shared" si="7"/>
        <v>0</v>
      </c>
    </row>
    <row r="129" spans="1:21" x14ac:dyDescent="0.25">
      <c r="A129">
        <v>43128</v>
      </c>
      <c r="B129">
        <v>0</v>
      </c>
      <c r="C129">
        <v>0</v>
      </c>
      <c r="D129">
        <v>0</v>
      </c>
      <c r="E129">
        <v>0</v>
      </c>
      <c r="F129">
        <f>VLOOKUP(A129,[1]SE_SUMMIT_2032_US40!$A:$Y,23,FALSE)</f>
        <v>45</v>
      </c>
      <c r="G129">
        <f>VLOOKUP(A129,[1]SE_SUMMIT_2032_US40!$A:$Y,24,FALSE)</f>
        <v>0</v>
      </c>
      <c r="H129">
        <f>VLOOKUP(A129,[1]SE_SUMMIT_2032_US40!$A:$Y,25,FALSE)</f>
        <v>0</v>
      </c>
      <c r="I129">
        <f>VLOOKUP(A129,[1]SE_SUMMIT_2032_US40!$A:$Z,26,FALSE)</f>
        <v>0</v>
      </c>
      <c r="J129">
        <f>VLOOKUP(A129,[2]SE_SUMMIT_2042_US40!$A:$Y,23,FALSE)</f>
        <v>91</v>
      </c>
      <c r="K129">
        <f>VLOOKUP(A129,[2]SE_SUMMIT_2042_US40!$A:$Y,24,FALSE)</f>
        <v>0</v>
      </c>
      <c r="L129">
        <f>VLOOKUP(A129,[2]SE_SUMMIT_2042_US40!$A:$Y,25,FALSE)</f>
        <v>0</v>
      </c>
      <c r="M129">
        <f>VLOOKUP(A129,[2]SE_SUMMIT_2042_US40!$A:$Z,26,FALSE)</f>
        <v>0</v>
      </c>
      <c r="N129">
        <f>VLOOKUP(A129,[3]SE_SUMMIT_2050_US40_Richardson_!$A:$Y,23,FALSE)</f>
        <v>137</v>
      </c>
      <c r="O129">
        <f>VLOOKUP(A129,[3]SE_SUMMIT_2050_US40_Richardson_!$A:$Y,24,FALSE)</f>
        <v>0</v>
      </c>
      <c r="P129">
        <f>VLOOKUP(A129,[3]SE_SUMMIT_2050_US40_Richardson_!$A:$Y,25,FALSE)</f>
        <v>0</v>
      </c>
      <c r="Q129">
        <f>VLOOKUP(A129,[3]SE_SUMMIT_2050_US40_Richardson_!$A:$Z,26,FALSE)</f>
        <v>0</v>
      </c>
      <c r="R129">
        <f t="shared" si="4"/>
        <v>137</v>
      </c>
      <c r="S129">
        <f t="shared" si="5"/>
        <v>0</v>
      </c>
      <c r="T129">
        <f t="shared" si="6"/>
        <v>0</v>
      </c>
      <c r="U129">
        <f t="shared" si="7"/>
        <v>0</v>
      </c>
    </row>
    <row r="130" spans="1:21" x14ac:dyDescent="0.25">
      <c r="A130">
        <v>43129</v>
      </c>
      <c r="B130">
        <v>6</v>
      </c>
      <c r="C130">
        <v>0</v>
      </c>
      <c r="D130">
        <v>0</v>
      </c>
      <c r="E130">
        <v>0</v>
      </c>
      <c r="F130">
        <f>VLOOKUP(A130,[1]SE_SUMMIT_2032_US40!$A:$Y,23,FALSE)</f>
        <v>6</v>
      </c>
      <c r="G130">
        <f>VLOOKUP(A130,[1]SE_SUMMIT_2032_US40!$A:$Y,24,FALSE)</f>
        <v>0</v>
      </c>
      <c r="H130">
        <f>VLOOKUP(A130,[1]SE_SUMMIT_2032_US40!$A:$Y,25,FALSE)</f>
        <v>0</v>
      </c>
      <c r="I130">
        <f>VLOOKUP(A130,[1]SE_SUMMIT_2032_US40!$A:$Z,26,FALSE)</f>
        <v>0</v>
      </c>
      <c r="J130">
        <f>VLOOKUP(A130,[2]SE_SUMMIT_2042_US40!$A:$Y,23,FALSE)</f>
        <v>6</v>
      </c>
      <c r="K130">
        <f>VLOOKUP(A130,[2]SE_SUMMIT_2042_US40!$A:$Y,24,FALSE)</f>
        <v>0</v>
      </c>
      <c r="L130">
        <f>VLOOKUP(A130,[2]SE_SUMMIT_2042_US40!$A:$Y,25,FALSE)</f>
        <v>0</v>
      </c>
      <c r="M130">
        <f>VLOOKUP(A130,[2]SE_SUMMIT_2042_US40!$A:$Z,26,FALSE)</f>
        <v>0</v>
      </c>
      <c r="N130">
        <f>VLOOKUP(A130,[3]SE_SUMMIT_2050_US40_Richardson_!$A:$Y,23,FALSE)</f>
        <v>6</v>
      </c>
      <c r="O130">
        <f>VLOOKUP(A130,[3]SE_SUMMIT_2050_US40_Richardson_!$A:$Y,24,FALSE)</f>
        <v>0</v>
      </c>
      <c r="P130">
        <f>VLOOKUP(A130,[3]SE_SUMMIT_2050_US40_Richardson_!$A:$Y,25,FALSE)</f>
        <v>0</v>
      </c>
      <c r="Q130">
        <f>VLOOKUP(A130,[3]SE_SUMMIT_2050_US40_Richardson_!$A:$Z,26,FALSE)</f>
        <v>0</v>
      </c>
      <c r="R130">
        <f t="shared" si="4"/>
        <v>0</v>
      </c>
      <c r="S130">
        <f t="shared" si="5"/>
        <v>0</v>
      </c>
      <c r="T130">
        <f t="shared" si="6"/>
        <v>0</v>
      </c>
      <c r="U130">
        <f t="shared" si="7"/>
        <v>0</v>
      </c>
    </row>
    <row r="131" spans="1:21" x14ac:dyDescent="0.25">
      <c r="A131">
        <v>43130</v>
      </c>
      <c r="B131">
        <v>12</v>
      </c>
      <c r="C131">
        <v>0</v>
      </c>
      <c r="D131">
        <v>0</v>
      </c>
      <c r="E131">
        <v>0</v>
      </c>
      <c r="F131">
        <f>VLOOKUP(A131,[1]SE_SUMMIT_2032_US40!$A:$Y,23,FALSE)</f>
        <v>12</v>
      </c>
      <c r="G131">
        <f>VLOOKUP(A131,[1]SE_SUMMIT_2032_US40!$A:$Y,24,FALSE)</f>
        <v>0</v>
      </c>
      <c r="H131">
        <f>VLOOKUP(A131,[1]SE_SUMMIT_2032_US40!$A:$Y,25,FALSE)</f>
        <v>0</v>
      </c>
      <c r="I131">
        <f>VLOOKUP(A131,[1]SE_SUMMIT_2032_US40!$A:$Z,26,FALSE)</f>
        <v>0</v>
      </c>
      <c r="J131">
        <f>VLOOKUP(A131,[2]SE_SUMMIT_2042_US40!$A:$Y,23,FALSE)</f>
        <v>12</v>
      </c>
      <c r="K131">
        <f>VLOOKUP(A131,[2]SE_SUMMIT_2042_US40!$A:$Y,24,FALSE)</f>
        <v>0</v>
      </c>
      <c r="L131">
        <f>VLOOKUP(A131,[2]SE_SUMMIT_2042_US40!$A:$Y,25,FALSE)</f>
        <v>0</v>
      </c>
      <c r="M131">
        <f>VLOOKUP(A131,[2]SE_SUMMIT_2042_US40!$A:$Z,26,FALSE)</f>
        <v>0</v>
      </c>
      <c r="N131">
        <f>VLOOKUP(A131,[3]SE_SUMMIT_2050_US40_Richardson_!$A:$Y,23,FALSE)</f>
        <v>12</v>
      </c>
      <c r="O131">
        <f>VLOOKUP(A131,[3]SE_SUMMIT_2050_US40_Richardson_!$A:$Y,24,FALSE)</f>
        <v>0</v>
      </c>
      <c r="P131">
        <f>VLOOKUP(A131,[3]SE_SUMMIT_2050_US40_Richardson_!$A:$Y,25,FALSE)</f>
        <v>0</v>
      </c>
      <c r="Q131">
        <f>VLOOKUP(A131,[3]SE_SUMMIT_2050_US40_Richardson_!$A:$Z,26,FALSE)</f>
        <v>0</v>
      </c>
      <c r="R131">
        <f t="shared" ref="R131:R194" si="8">N131-B131</f>
        <v>0</v>
      </c>
      <c r="S131">
        <f t="shared" ref="S131:S194" si="9">O131-C131</f>
        <v>0</v>
      </c>
      <c r="T131">
        <f t="shared" ref="T131:T194" si="10">P131-D131</f>
        <v>0</v>
      </c>
      <c r="U131">
        <f t="shared" ref="U131:U194" si="11">Q131-E131</f>
        <v>0</v>
      </c>
    </row>
    <row r="132" spans="1:21" x14ac:dyDescent="0.25">
      <c r="A132">
        <v>43131</v>
      </c>
      <c r="B132">
        <v>34</v>
      </c>
      <c r="C132">
        <v>0</v>
      </c>
      <c r="D132">
        <v>0</v>
      </c>
      <c r="E132">
        <v>0</v>
      </c>
      <c r="F132">
        <f>VLOOKUP(A132,[1]SE_SUMMIT_2032_US40!$A:$Y,23,FALSE)</f>
        <v>34</v>
      </c>
      <c r="G132">
        <f>VLOOKUP(A132,[1]SE_SUMMIT_2032_US40!$A:$Y,24,FALSE)</f>
        <v>0</v>
      </c>
      <c r="H132">
        <f>VLOOKUP(A132,[1]SE_SUMMIT_2032_US40!$A:$Y,25,FALSE)</f>
        <v>0</v>
      </c>
      <c r="I132">
        <f>VLOOKUP(A132,[1]SE_SUMMIT_2032_US40!$A:$Z,26,FALSE)</f>
        <v>0</v>
      </c>
      <c r="J132">
        <f>VLOOKUP(A132,[2]SE_SUMMIT_2042_US40!$A:$Y,23,FALSE)</f>
        <v>34</v>
      </c>
      <c r="K132">
        <f>VLOOKUP(A132,[2]SE_SUMMIT_2042_US40!$A:$Y,24,FALSE)</f>
        <v>0</v>
      </c>
      <c r="L132">
        <f>VLOOKUP(A132,[2]SE_SUMMIT_2042_US40!$A:$Y,25,FALSE)</f>
        <v>0</v>
      </c>
      <c r="M132">
        <f>VLOOKUP(A132,[2]SE_SUMMIT_2042_US40!$A:$Z,26,FALSE)</f>
        <v>0</v>
      </c>
      <c r="N132">
        <f>VLOOKUP(A132,[3]SE_SUMMIT_2050_US40_Richardson_!$A:$Y,23,FALSE)</f>
        <v>34</v>
      </c>
      <c r="O132">
        <f>VLOOKUP(A132,[3]SE_SUMMIT_2050_US40_Richardson_!$A:$Y,24,FALSE)</f>
        <v>0</v>
      </c>
      <c r="P132">
        <f>VLOOKUP(A132,[3]SE_SUMMIT_2050_US40_Richardson_!$A:$Y,25,FALSE)</f>
        <v>0</v>
      </c>
      <c r="Q132">
        <f>VLOOKUP(A132,[3]SE_SUMMIT_2050_US40_Richardson_!$A:$Z,26,FALSE)</f>
        <v>0</v>
      </c>
      <c r="R132">
        <f t="shared" si="8"/>
        <v>0</v>
      </c>
      <c r="S132">
        <f t="shared" si="9"/>
        <v>0</v>
      </c>
      <c r="T132">
        <f t="shared" si="10"/>
        <v>0</v>
      </c>
      <c r="U132">
        <f t="shared" si="11"/>
        <v>0</v>
      </c>
    </row>
    <row r="133" spans="1:21" x14ac:dyDescent="0.25">
      <c r="A133">
        <v>43132</v>
      </c>
      <c r="B133">
        <v>18</v>
      </c>
      <c r="C133">
        <v>0</v>
      </c>
      <c r="D133">
        <v>0</v>
      </c>
      <c r="E133">
        <v>0</v>
      </c>
      <c r="F133">
        <f>VLOOKUP(A133,[1]SE_SUMMIT_2032_US40!$A:$Y,23,FALSE)</f>
        <v>18</v>
      </c>
      <c r="G133">
        <f>VLOOKUP(A133,[1]SE_SUMMIT_2032_US40!$A:$Y,24,FALSE)</f>
        <v>0</v>
      </c>
      <c r="H133">
        <f>VLOOKUP(A133,[1]SE_SUMMIT_2032_US40!$A:$Y,25,FALSE)</f>
        <v>0</v>
      </c>
      <c r="I133">
        <f>VLOOKUP(A133,[1]SE_SUMMIT_2032_US40!$A:$Z,26,FALSE)</f>
        <v>0</v>
      </c>
      <c r="J133">
        <f>VLOOKUP(A133,[2]SE_SUMMIT_2042_US40!$A:$Y,23,FALSE)</f>
        <v>18</v>
      </c>
      <c r="K133">
        <f>VLOOKUP(A133,[2]SE_SUMMIT_2042_US40!$A:$Y,24,FALSE)</f>
        <v>0</v>
      </c>
      <c r="L133">
        <f>VLOOKUP(A133,[2]SE_SUMMIT_2042_US40!$A:$Y,25,FALSE)</f>
        <v>0</v>
      </c>
      <c r="M133">
        <f>VLOOKUP(A133,[2]SE_SUMMIT_2042_US40!$A:$Z,26,FALSE)</f>
        <v>0</v>
      </c>
      <c r="N133">
        <f>VLOOKUP(A133,[3]SE_SUMMIT_2050_US40_Richardson_!$A:$Y,23,FALSE)</f>
        <v>18</v>
      </c>
      <c r="O133">
        <f>VLOOKUP(A133,[3]SE_SUMMIT_2050_US40_Richardson_!$A:$Y,24,FALSE)</f>
        <v>0</v>
      </c>
      <c r="P133">
        <f>VLOOKUP(A133,[3]SE_SUMMIT_2050_US40_Richardson_!$A:$Y,25,FALSE)</f>
        <v>0</v>
      </c>
      <c r="Q133">
        <f>VLOOKUP(A133,[3]SE_SUMMIT_2050_US40_Richardson_!$A:$Z,26,FALSE)</f>
        <v>0</v>
      </c>
      <c r="R133">
        <f t="shared" si="8"/>
        <v>0</v>
      </c>
      <c r="S133">
        <f t="shared" si="9"/>
        <v>0</v>
      </c>
      <c r="T133">
        <f t="shared" si="10"/>
        <v>0</v>
      </c>
      <c r="U133">
        <f t="shared" si="11"/>
        <v>0</v>
      </c>
    </row>
    <row r="134" spans="1:21" x14ac:dyDescent="0.25">
      <c r="A134">
        <v>43133</v>
      </c>
      <c r="B134">
        <v>27</v>
      </c>
      <c r="C134">
        <v>0</v>
      </c>
      <c r="D134">
        <v>0</v>
      </c>
      <c r="E134">
        <v>0</v>
      </c>
      <c r="F134">
        <f>VLOOKUP(A134,[1]SE_SUMMIT_2032_US40!$A:$Y,23,FALSE)</f>
        <v>27</v>
      </c>
      <c r="G134">
        <f>VLOOKUP(A134,[1]SE_SUMMIT_2032_US40!$A:$Y,24,FALSE)</f>
        <v>0</v>
      </c>
      <c r="H134">
        <f>VLOOKUP(A134,[1]SE_SUMMIT_2032_US40!$A:$Y,25,FALSE)</f>
        <v>0</v>
      </c>
      <c r="I134">
        <f>VLOOKUP(A134,[1]SE_SUMMIT_2032_US40!$A:$Z,26,FALSE)</f>
        <v>0</v>
      </c>
      <c r="J134">
        <f>VLOOKUP(A134,[2]SE_SUMMIT_2042_US40!$A:$Y,23,FALSE)</f>
        <v>27</v>
      </c>
      <c r="K134">
        <f>VLOOKUP(A134,[2]SE_SUMMIT_2042_US40!$A:$Y,24,FALSE)</f>
        <v>0</v>
      </c>
      <c r="L134">
        <f>VLOOKUP(A134,[2]SE_SUMMIT_2042_US40!$A:$Y,25,FALSE)</f>
        <v>0</v>
      </c>
      <c r="M134">
        <f>VLOOKUP(A134,[2]SE_SUMMIT_2042_US40!$A:$Z,26,FALSE)</f>
        <v>0</v>
      </c>
      <c r="N134">
        <f>VLOOKUP(A134,[3]SE_SUMMIT_2050_US40_Richardson_!$A:$Y,23,FALSE)</f>
        <v>27</v>
      </c>
      <c r="O134">
        <f>VLOOKUP(A134,[3]SE_SUMMIT_2050_US40_Richardson_!$A:$Y,24,FALSE)</f>
        <v>0</v>
      </c>
      <c r="P134">
        <f>VLOOKUP(A134,[3]SE_SUMMIT_2050_US40_Richardson_!$A:$Y,25,FALSE)</f>
        <v>0</v>
      </c>
      <c r="Q134">
        <f>VLOOKUP(A134,[3]SE_SUMMIT_2050_US40_Richardson_!$A:$Z,26,FALSE)</f>
        <v>0</v>
      </c>
      <c r="R134">
        <f t="shared" si="8"/>
        <v>0</v>
      </c>
      <c r="S134">
        <f t="shared" si="9"/>
        <v>0</v>
      </c>
      <c r="T134">
        <f t="shared" si="10"/>
        <v>0</v>
      </c>
      <c r="U134">
        <f t="shared" si="11"/>
        <v>0</v>
      </c>
    </row>
    <row r="135" spans="1:21" x14ac:dyDescent="0.25">
      <c r="A135">
        <v>43134</v>
      </c>
      <c r="B135">
        <v>25</v>
      </c>
      <c r="C135">
        <v>0</v>
      </c>
      <c r="D135">
        <v>0</v>
      </c>
      <c r="E135">
        <v>0</v>
      </c>
      <c r="F135">
        <f>VLOOKUP(A135,[1]SE_SUMMIT_2032_US40!$A:$Y,23,FALSE)</f>
        <v>40</v>
      </c>
      <c r="G135">
        <f>VLOOKUP(A135,[1]SE_SUMMIT_2032_US40!$A:$Y,24,FALSE)</f>
        <v>0</v>
      </c>
      <c r="H135">
        <f>VLOOKUP(A135,[1]SE_SUMMIT_2032_US40!$A:$Y,25,FALSE)</f>
        <v>0</v>
      </c>
      <c r="I135">
        <f>VLOOKUP(A135,[1]SE_SUMMIT_2032_US40!$A:$Z,26,FALSE)</f>
        <v>0</v>
      </c>
      <c r="J135">
        <f>VLOOKUP(A135,[2]SE_SUMMIT_2042_US40!$A:$Y,23,FALSE)</f>
        <v>40</v>
      </c>
      <c r="K135">
        <f>VLOOKUP(A135,[2]SE_SUMMIT_2042_US40!$A:$Y,24,FALSE)</f>
        <v>0</v>
      </c>
      <c r="L135">
        <f>VLOOKUP(A135,[2]SE_SUMMIT_2042_US40!$A:$Y,25,FALSE)</f>
        <v>0</v>
      </c>
      <c r="M135">
        <f>VLOOKUP(A135,[2]SE_SUMMIT_2042_US40!$A:$Z,26,FALSE)</f>
        <v>0</v>
      </c>
      <c r="N135">
        <f>VLOOKUP(A135,[3]SE_SUMMIT_2050_US40_Richardson_!$A:$Y,23,FALSE)</f>
        <v>40</v>
      </c>
      <c r="O135">
        <f>VLOOKUP(A135,[3]SE_SUMMIT_2050_US40_Richardson_!$A:$Y,24,FALSE)</f>
        <v>0</v>
      </c>
      <c r="P135">
        <f>VLOOKUP(A135,[3]SE_SUMMIT_2050_US40_Richardson_!$A:$Y,25,FALSE)</f>
        <v>0</v>
      </c>
      <c r="Q135">
        <f>VLOOKUP(A135,[3]SE_SUMMIT_2050_US40_Richardson_!$A:$Z,26,FALSE)</f>
        <v>0</v>
      </c>
      <c r="R135">
        <f t="shared" si="8"/>
        <v>15</v>
      </c>
      <c r="S135">
        <f t="shared" si="9"/>
        <v>0</v>
      </c>
      <c r="T135">
        <f t="shared" si="10"/>
        <v>0</v>
      </c>
      <c r="U135">
        <f t="shared" si="11"/>
        <v>0</v>
      </c>
    </row>
    <row r="136" spans="1:21" x14ac:dyDescent="0.25">
      <c r="A136">
        <v>43135</v>
      </c>
      <c r="B136">
        <v>60</v>
      </c>
      <c r="C136">
        <v>0</v>
      </c>
      <c r="D136">
        <v>0</v>
      </c>
      <c r="E136">
        <v>0</v>
      </c>
      <c r="F136">
        <f>VLOOKUP(A136,[1]SE_SUMMIT_2032_US40!$A:$Y,23,FALSE)</f>
        <v>60</v>
      </c>
      <c r="G136">
        <f>VLOOKUP(A136,[1]SE_SUMMIT_2032_US40!$A:$Y,24,FALSE)</f>
        <v>0</v>
      </c>
      <c r="H136">
        <f>VLOOKUP(A136,[1]SE_SUMMIT_2032_US40!$A:$Y,25,FALSE)</f>
        <v>0</v>
      </c>
      <c r="I136">
        <f>VLOOKUP(A136,[1]SE_SUMMIT_2032_US40!$A:$Z,26,FALSE)</f>
        <v>0</v>
      </c>
      <c r="J136">
        <f>VLOOKUP(A136,[2]SE_SUMMIT_2042_US40!$A:$Y,23,FALSE)</f>
        <v>60</v>
      </c>
      <c r="K136">
        <f>VLOOKUP(A136,[2]SE_SUMMIT_2042_US40!$A:$Y,24,FALSE)</f>
        <v>0</v>
      </c>
      <c r="L136">
        <f>VLOOKUP(A136,[2]SE_SUMMIT_2042_US40!$A:$Y,25,FALSE)</f>
        <v>0</v>
      </c>
      <c r="M136">
        <f>VLOOKUP(A136,[2]SE_SUMMIT_2042_US40!$A:$Z,26,FALSE)</f>
        <v>0</v>
      </c>
      <c r="N136">
        <f>VLOOKUP(A136,[3]SE_SUMMIT_2050_US40_Richardson_!$A:$Y,23,FALSE)</f>
        <v>60</v>
      </c>
      <c r="O136">
        <f>VLOOKUP(A136,[3]SE_SUMMIT_2050_US40_Richardson_!$A:$Y,24,FALSE)</f>
        <v>0</v>
      </c>
      <c r="P136">
        <f>VLOOKUP(A136,[3]SE_SUMMIT_2050_US40_Richardson_!$A:$Y,25,FALSE)</f>
        <v>0</v>
      </c>
      <c r="Q136">
        <f>VLOOKUP(A136,[3]SE_SUMMIT_2050_US40_Richardson_!$A:$Z,26,FALSE)</f>
        <v>0</v>
      </c>
      <c r="R136">
        <f t="shared" si="8"/>
        <v>0</v>
      </c>
      <c r="S136">
        <f t="shared" si="9"/>
        <v>0</v>
      </c>
      <c r="T136">
        <f t="shared" si="10"/>
        <v>0</v>
      </c>
      <c r="U136">
        <f t="shared" si="11"/>
        <v>0</v>
      </c>
    </row>
    <row r="137" spans="1:21" x14ac:dyDescent="0.25">
      <c r="A137">
        <v>43136</v>
      </c>
      <c r="B137">
        <v>21</v>
      </c>
      <c r="C137">
        <v>0</v>
      </c>
      <c r="D137">
        <v>0</v>
      </c>
      <c r="E137">
        <v>0</v>
      </c>
      <c r="F137">
        <f>VLOOKUP(A137,[1]SE_SUMMIT_2032_US40!$A:$Y,23,FALSE)</f>
        <v>21</v>
      </c>
      <c r="G137">
        <f>VLOOKUP(A137,[1]SE_SUMMIT_2032_US40!$A:$Y,24,FALSE)</f>
        <v>0</v>
      </c>
      <c r="H137">
        <f>VLOOKUP(A137,[1]SE_SUMMIT_2032_US40!$A:$Y,25,FALSE)</f>
        <v>0</v>
      </c>
      <c r="I137">
        <f>VLOOKUP(A137,[1]SE_SUMMIT_2032_US40!$A:$Z,26,FALSE)</f>
        <v>0</v>
      </c>
      <c r="J137">
        <f>VLOOKUP(A137,[2]SE_SUMMIT_2042_US40!$A:$Y,23,FALSE)</f>
        <v>21</v>
      </c>
      <c r="K137">
        <f>VLOOKUP(A137,[2]SE_SUMMIT_2042_US40!$A:$Y,24,FALSE)</f>
        <v>0</v>
      </c>
      <c r="L137">
        <f>VLOOKUP(A137,[2]SE_SUMMIT_2042_US40!$A:$Y,25,FALSE)</f>
        <v>0</v>
      </c>
      <c r="M137">
        <f>VLOOKUP(A137,[2]SE_SUMMIT_2042_US40!$A:$Z,26,FALSE)</f>
        <v>0</v>
      </c>
      <c r="N137">
        <f>VLOOKUP(A137,[3]SE_SUMMIT_2050_US40_Richardson_!$A:$Y,23,FALSE)</f>
        <v>21</v>
      </c>
      <c r="O137">
        <f>VLOOKUP(A137,[3]SE_SUMMIT_2050_US40_Richardson_!$A:$Y,24,FALSE)</f>
        <v>0</v>
      </c>
      <c r="P137">
        <f>VLOOKUP(A137,[3]SE_SUMMIT_2050_US40_Richardson_!$A:$Y,25,FALSE)</f>
        <v>0</v>
      </c>
      <c r="Q137">
        <f>VLOOKUP(A137,[3]SE_SUMMIT_2050_US40_Richardson_!$A:$Z,26,FALSE)</f>
        <v>0</v>
      </c>
      <c r="R137">
        <f t="shared" si="8"/>
        <v>0</v>
      </c>
      <c r="S137">
        <f t="shared" si="9"/>
        <v>0</v>
      </c>
      <c r="T137">
        <f t="shared" si="10"/>
        <v>0</v>
      </c>
      <c r="U137">
        <f t="shared" si="11"/>
        <v>0</v>
      </c>
    </row>
    <row r="138" spans="1:21" x14ac:dyDescent="0.25">
      <c r="A138">
        <v>43137</v>
      </c>
      <c r="B138">
        <v>33</v>
      </c>
      <c r="C138">
        <v>0</v>
      </c>
      <c r="D138">
        <v>0</v>
      </c>
      <c r="E138">
        <v>0</v>
      </c>
      <c r="F138">
        <f>VLOOKUP(A138,[1]SE_SUMMIT_2032_US40!$A:$Y,23,FALSE)</f>
        <v>33</v>
      </c>
      <c r="G138">
        <f>VLOOKUP(A138,[1]SE_SUMMIT_2032_US40!$A:$Y,24,FALSE)</f>
        <v>0</v>
      </c>
      <c r="H138">
        <f>VLOOKUP(A138,[1]SE_SUMMIT_2032_US40!$A:$Y,25,FALSE)</f>
        <v>0</v>
      </c>
      <c r="I138">
        <f>VLOOKUP(A138,[1]SE_SUMMIT_2032_US40!$A:$Z,26,FALSE)</f>
        <v>0</v>
      </c>
      <c r="J138">
        <f>VLOOKUP(A138,[2]SE_SUMMIT_2042_US40!$A:$Y,23,FALSE)</f>
        <v>33</v>
      </c>
      <c r="K138">
        <f>VLOOKUP(A138,[2]SE_SUMMIT_2042_US40!$A:$Y,24,FALSE)</f>
        <v>0</v>
      </c>
      <c r="L138">
        <f>VLOOKUP(A138,[2]SE_SUMMIT_2042_US40!$A:$Y,25,FALSE)</f>
        <v>0</v>
      </c>
      <c r="M138">
        <f>VLOOKUP(A138,[2]SE_SUMMIT_2042_US40!$A:$Z,26,FALSE)</f>
        <v>0</v>
      </c>
      <c r="N138">
        <f>VLOOKUP(A138,[3]SE_SUMMIT_2050_US40_Richardson_!$A:$Y,23,FALSE)</f>
        <v>33</v>
      </c>
      <c r="O138">
        <f>VLOOKUP(A138,[3]SE_SUMMIT_2050_US40_Richardson_!$A:$Y,24,FALSE)</f>
        <v>0</v>
      </c>
      <c r="P138">
        <f>VLOOKUP(A138,[3]SE_SUMMIT_2050_US40_Richardson_!$A:$Y,25,FALSE)</f>
        <v>0</v>
      </c>
      <c r="Q138">
        <f>VLOOKUP(A138,[3]SE_SUMMIT_2050_US40_Richardson_!$A:$Z,26,FALSE)</f>
        <v>0</v>
      </c>
      <c r="R138">
        <f t="shared" si="8"/>
        <v>0</v>
      </c>
      <c r="S138">
        <f t="shared" si="9"/>
        <v>0</v>
      </c>
      <c r="T138">
        <f t="shared" si="10"/>
        <v>0</v>
      </c>
      <c r="U138">
        <f t="shared" si="11"/>
        <v>0</v>
      </c>
    </row>
    <row r="139" spans="1:21" x14ac:dyDescent="0.25">
      <c r="A139">
        <v>43138</v>
      </c>
      <c r="B139">
        <v>4</v>
      </c>
      <c r="C139">
        <v>0</v>
      </c>
      <c r="D139">
        <v>0</v>
      </c>
      <c r="E139">
        <v>0</v>
      </c>
      <c r="F139">
        <f>VLOOKUP(A139,[1]SE_SUMMIT_2032_US40!$A:$Y,23,FALSE)</f>
        <v>4</v>
      </c>
      <c r="G139">
        <f>VLOOKUP(A139,[1]SE_SUMMIT_2032_US40!$A:$Y,24,FALSE)</f>
        <v>0</v>
      </c>
      <c r="H139">
        <f>VLOOKUP(A139,[1]SE_SUMMIT_2032_US40!$A:$Y,25,FALSE)</f>
        <v>0</v>
      </c>
      <c r="I139">
        <f>VLOOKUP(A139,[1]SE_SUMMIT_2032_US40!$A:$Z,26,FALSE)</f>
        <v>0</v>
      </c>
      <c r="J139">
        <f>VLOOKUP(A139,[2]SE_SUMMIT_2042_US40!$A:$Y,23,FALSE)</f>
        <v>4</v>
      </c>
      <c r="K139">
        <f>VLOOKUP(A139,[2]SE_SUMMIT_2042_US40!$A:$Y,24,FALSE)</f>
        <v>0</v>
      </c>
      <c r="L139">
        <f>VLOOKUP(A139,[2]SE_SUMMIT_2042_US40!$A:$Y,25,FALSE)</f>
        <v>0</v>
      </c>
      <c r="M139">
        <f>VLOOKUP(A139,[2]SE_SUMMIT_2042_US40!$A:$Z,26,FALSE)</f>
        <v>0</v>
      </c>
      <c r="N139">
        <f>VLOOKUP(A139,[3]SE_SUMMIT_2050_US40_Richardson_!$A:$Y,23,FALSE)</f>
        <v>4</v>
      </c>
      <c r="O139">
        <f>VLOOKUP(A139,[3]SE_SUMMIT_2050_US40_Richardson_!$A:$Y,24,FALSE)</f>
        <v>0</v>
      </c>
      <c r="P139">
        <f>VLOOKUP(A139,[3]SE_SUMMIT_2050_US40_Richardson_!$A:$Y,25,FALSE)</f>
        <v>0</v>
      </c>
      <c r="Q139">
        <f>VLOOKUP(A139,[3]SE_SUMMIT_2050_US40_Richardson_!$A:$Z,26,FALSE)</f>
        <v>0</v>
      </c>
      <c r="R139">
        <f t="shared" si="8"/>
        <v>0</v>
      </c>
      <c r="S139">
        <f t="shared" si="9"/>
        <v>0</v>
      </c>
      <c r="T139">
        <f t="shared" si="10"/>
        <v>0</v>
      </c>
      <c r="U139">
        <f t="shared" si="11"/>
        <v>0</v>
      </c>
    </row>
    <row r="140" spans="1:21" x14ac:dyDescent="0.25">
      <c r="A140">
        <v>43139</v>
      </c>
      <c r="B140">
        <v>15</v>
      </c>
      <c r="C140">
        <v>0</v>
      </c>
      <c r="D140">
        <v>0</v>
      </c>
      <c r="E140">
        <v>0</v>
      </c>
      <c r="F140">
        <f>VLOOKUP(A140,[1]SE_SUMMIT_2032_US40!$A:$Y,23,FALSE)</f>
        <v>15</v>
      </c>
      <c r="G140">
        <f>VLOOKUP(A140,[1]SE_SUMMIT_2032_US40!$A:$Y,24,FALSE)</f>
        <v>0</v>
      </c>
      <c r="H140">
        <f>VLOOKUP(A140,[1]SE_SUMMIT_2032_US40!$A:$Y,25,FALSE)</f>
        <v>0</v>
      </c>
      <c r="I140">
        <f>VLOOKUP(A140,[1]SE_SUMMIT_2032_US40!$A:$Z,26,FALSE)</f>
        <v>0</v>
      </c>
      <c r="J140">
        <f>VLOOKUP(A140,[2]SE_SUMMIT_2042_US40!$A:$Y,23,FALSE)</f>
        <v>15</v>
      </c>
      <c r="K140">
        <f>VLOOKUP(A140,[2]SE_SUMMIT_2042_US40!$A:$Y,24,FALSE)</f>
        <v>0</v>
      </c>
      <c r="L140">
        <f>VLOOKUP(A140,[2]SE_SUMMIT_2042_US40!$A:$Y,25,FALSE)</f>
        <v>0</v>
      </c>
      <c r="M140">
        <f>VLOOKUP(A140,[2]SE_SUMMIT_2042_US40!$A:$Z,26,FALSE)</f>
        <v>0</v>
      </c>
      <c r="N140">
        <f>VLOOKUP(A140,[3]SE_SUMMIT_2050_US40_Richardson_!$A:$Y,23,FALSE)</f>
        <v>15</v>
      </c>
      <c r="O140">
        <f>VLOOKUP(A140,[3]SE_SUMMIT_2050_US40_Richardson_!$A:$Y,24,FALSE)</f>
        <v>0</v>
      </c>
      <c r="P140">
        <f>VLOOKUP(A140,[3]SE_SUMMIT_2050_US40_Richardson_!$A:$Y,25,FALSE)</f>
        <v>0</v>
      </c>
      <c r="Q140">
        <f>VLOOKUP(A140,[3]SE_SUMMIT_2050_US40_Richardson_!$A:$Z,26,FALSE)</f>
        <v>0</v>
      </c>
      <c r="R140">
        <f t="shared" si="8"/>
        <v>0</v>
      </c>
      <c r="S140">
        <f t="shared" si="9"/>
        <v>0</v>
      </c>
      <c r="T140">
        <f t="shared" si="10"/>
        <v>0</v>
      </c>
      <c r="U140">
        <f t="shared" si="11"/>
        <v>0</v>
      </c>
    </row>
    <row r="141" spans="1:21" x14ac:dyDescent="0.25">
      <c r="A141">
        <v>43140</v>
      </c>
      <c r="B141">
        <v>16</v>
      </c>
      <c r="C141">
        <v>0</v>
      </c>
      <c r="D141">
        <v>0</v>
      </c>
      <c r="E141">
        <v>0</v>
      </c>
      <c r="F141">
        <f>VLOOKUP(A141,[1]SE_SUMMIT_2032_US40!$A:$Y,23,FALSE)</f>
        <v>16</v>
      </c>
      <c r="G141">
        <f>VLOOKUP(A141,[1]SE_SUMMIT_2032_US40!$A:$Y,24,FALSE)</f>
        <v>0</v>
      </c>
      <c r="H141">
        <f>VLOOKUP(A141,[1]SE_SUMMIT_2032_US40!$A:$Y,25,FALSE)</f>
        <v>0</v>
      </c>
      <c r="I141">
        <f>VLOOKUP(A141,[1]SE_SUMMIT_2032_US40!$A:$Z,26,FALSE)</f>
        <v>0</v>
      </c>
      <c r="J141">
        <f>VLOOKUP(A141,[2]SE_SUMMIT_2042_US40!$A:$Y,23,FALSE)</f>
        <v>16</v>
      </c>
      <c r="K141">
        <f>VLOOKUP(A141,[2]SE_SUMMIT_2042_US40!$A:$Y,24,FALSE)</f>
        <v>0</v>
      </c>
      <c r="L141">
        <f>VLOOKUP(A141,[2]SE_SUMMIT_2042_US40!$A:$Y,25,FALSE)</f>
        <v>0</v>
      </c>
      <c r="M141">
        <f>VLOOKUP(A141,[2]SE_SUMMIT_2042_US40!$A:$Z,26,FALSE)</f>
        <v>0</v>
      </c>
      <c r="N141">
        <f>VLOOKUP(A141,[3]SE_SUMMIT_2050_US40_Richardson_!$A:$Y,23,FALSE)</f>
        <v>16</v>
      </c>
      <c r="O141">
        <f>VLOOKUP(A141,[3]SE_SUMMIT_2050_US40_Richardson_!$A:$Y,24,FALSE)</f>
        <v>0</v>
      </c>
      <c r="P141">
        <f>VLOOKUP(A141,[3]SE_SUMMIT_2050_US40_Richardson_!$A:$Y,25,FALSE)</f>
        <v>0</v>
      </c>
      <c r="Q141">
        <f>VLOOKUP(A141,[3]SE_SUMMIT_2050_US40_Richardson_!$A:$Z,26,FALSE)</f>
        <v>0</v>
      </c>
      <c r="R141">
        <f t="shared" si="8"/>
        <v>0</v>
      </c>
      <c r="S141">
        <f t="shared" si="9"/>
        <v>0</v>
      </c>
      <c r="T141">
        <f t="shared" si="10"/>
        <v>0</v>
      </c>
      <c r="U141">
        <f t="shared" si="11"/>
        <v>0</v>
      </c>
    </row>
    <row r="142" spans="1:21" x14ac:dyDescent="0.25">
      <c r="A142">
        <v>43141</v>
      </c>
      <c r="B142">
        <v>27</v>
      </c>
      <c r="C142">
        <v>0</v>
      </c>
      <c r="D142">
        <v>0</v>
      </c>
      <c r="E142">
        <v>0</v>
      </c>
      <c r="F142">
        <f>VLOOKUP(A142,[1]SE_SUMMIT_2032_US40!$A:$Y,23,FALSE)</f>
        <v>27</v>
      </c>
      <c r="G142">
        <f>VLOOKUP(A142,[1]SE_SUMMIT_2032_US40!$A:$Y,24,FALSE)</f>
        <v>0</v>
      </c>
      <c r="H142">
        <f>VLOOKUP(A142,[1]SE_SUMMIT_2032_US40!$A:$Y,25,FALSE)</f>
        <v>0</v>
      </c>
      <c r="I142">
        <f>VLOOKUP(A142,[1]SE_SUMMIT_2032_US40!$A:$Z,26,FALSE)</f>
        <v>0</v>
      </c>
      <c r="J142">
        <f>VLOOKUP(A142,[2]SE_SUMMIT_2042_US40!$A:$Y,23,FALSE)</f>
        <v>27</v>
      </c>
      <c r="K142">
        <f>VLOOKUP(A142,[2]SE_SUMMIT_2042_US40!$A:$Y,24,FALSE)</f>
        <v>0</v>
      </c>
      <c r="L142">
        <f>VLOOKUP(A142,[2]SE_SUMMIT_2042_US40!$A:$Y,25,FALSE)</f>
        <v>0</v>
      </c>
      <c r="M142">
        <f>VLOOKUP(A142,[2]SE_SUMMIT_2042_US40!$A:$Z,26,FALSE)</f>
        <v>0</v>
      </c>
      <c r="N142">
        <f>VLOOKUP(A142,[3]SE_SUMMIT_2050_US40_Richardson_!$A:$Y,23,FALSE)</f>
        <v>27</v>
      </c>
      <c r="O142">
        <f>VLOOKUP(A142,[3]SE_SUMMIT_2050_US40_Richardson_!$A:$Y,24,FALSE)</f>
        <v>0</v>
      </c>
      <c r="P142">
        <f>VLOOKUP(A142,[3]SE_SUMMIT_2050_US40_Richardson_!$A:$Y,25,FALSE)</f>
        <v>0</v>
      </c>
      <c r="Q142">
        <f>VLOOKUP(A142,[3]SE_SUMMIT_2050_US40_Richardson_!$A:$Z,26,FALSE)</f>
        <v>0</v>
      </c>
      <c r="R142">
        <f t="shared" si="8"/>
        <v>0</v>
      </c>
      <c r="S142">
        <f t="shared" si="9"/>
        <v>0</v>
      </c>
      <c r="T142">
        <f t="shared" si="10"/>
        <v>0</v>
      </c>
      <c r="U142">
        <f t="shared" si="11"/>
        <v>0</v>
      </c>
    </row>
    <row r="143" spans="1:21" x14ac:dyDescent="0.25">
      <c r="A143">
        <v>43142</v>
      </c>
      <c r="B143">
        <v>3</v>
      </c>
      <c r="C143">
        <v>0</v>
      </c>
      <c r="D143">
        <v>0</v>
      </c>
      <c r="E143">
        <v>0</v>
      </c>
      <c r="F143">
        <f>VLOOKUP(A143,[1]SE_SUMMIT_2032_US40!$A:$Y,23,FALSE)</f>
        <v>3</v>
      </c>
      <c r="G143">
        <f>VLOOKUP(A143,[1]SE_SUMMIT_2032_US40!$A:$Y,24,FALSE)</f>
        <v>0</v>
      </c>
      <c r="H143">
        <f>VLOOKUP(A143,[1]SE_SUMMIT_2032_US40!$A:$Y,25,FALSE)</f>
        <v>0</v>
      </c>
      <c r="I143">
        <f>VLOOKUP(A143,[1]SE_SUMMIT_2032_US40!$A:$Z,26,FALSE)</f>
        <v>0</v>
      </c>
      <c r="J143">
        <f>VLOOKUP(A143,[2]SE_SUMMIT_2042_US40!$A:$Y,23,FALSE)</f>
        <v>3</v>
      </c>
      <c r="K143">
        <f>VLOOKUP(A143,[2]SE_SUMMIT_2042_US40!$A:$Y,24,FALSE)</f>
        <v>0</v>
      </c>
      <c r="L143">
        <f>VLOOKUP(A143,[2]SE_SUMMIT_2042_US40!$A:$Y,25,FALSE)</f>
        <v>0</v>
      </c>
      <c r="M143">
        <f>VLOOKUP(A143,[2]SE_SUMMIT_2042_US40!$A:$Z,26,FALSE)</f>
        <v>0</v>
      </c>
      <c r="N143">
        <f>VLOOKUP(A143,[3]SE_SUMMIT_2050_US40_Richardson_!$A:$Y,23,FALSE)</f>
        <v>3</v>
      </c>
      <c r="O143">
        <f>VLOOKUP(A143,[3]SE_SUMMIT_2050_US40_Richardson_!$A:$Y,24,FALSE)</f>
        <v>0</v>
      </c>
      <c r="P143">
        <f>VLOOKUP(A143,[3]SE_SUMMIT_2050_US40_Richardson_!$A:$Y,25,FALSE)</f>
        <v>0</v>
      </c>
      <c r="Q143">
        <f>VLOOKUP(A143,[3]SE_SUMMIT_2050_US40_Richardson_!$A:$Z,26,FALSE)</f>
        <v>0</v>
      </c>
      <c r="R143">
        <f t="shared" si="8"/>
        <v>0</v>
      </c>
      <c r="S143">
        <f t="shared" si="9"/>
        <v>0</v>
      </c>
      <c r="T143">
        <f t="shared" si="10"/>
        <v>0</v>
      </c>
      <c r="U143">
        <f t="shared" si="11"/>
        <v>0</v>
      </c>
    </row>
    <row r="144" spans="1:21" x14ac:dyDescent="0.25">
      <c r="A144">
        <v>43143</v>
      </c>
      <c r="B144">
        <v>24</v>
      </c>
      <c r="C144">
        <v>0</v>
      </c>
      <c r="D144">
        <v>0</v>
      </c>
      <c r="E144">
        <v>0</v>
      </c>
      <c r="F144">
        <f>VLOOKUP(A144,[1]SE_SUMMIT_2032_US40!$A:$Y,23,FALSE)</f>
        <v>24</v>
      </c>
      <c r="G144">
        <f>VLOOKUP(A144,[1]SE_SUMMIT_2032_US40!$A:$Y,24,FALSE)</f>
        <v>0</v>
      </c>
      <c r="H144">
        <f>VLOOKUP(A144,[1]SE_SUMMIT_2032_US40!$A:$Y,25,FALSE)</f>
        <v>0</v>
      </c>
      <c r="I144">
        <f>VLOOKUP(A144,[1]SE_SUMMIT_2032_US40!$A:$Z,26,FALSE)</f>
        <v>0</v>
      </c>
      <c r="J144">
        <f>VLOOKUP(A144,[2]SE_SUMMIT_2042_US40!$A:$Y,23,FALSE)</f>
        <v>24</v>
      </c>
      <c r="K144">
        <f>VLOOKUP(A144,[2]SE_SUMMIT_2042_US40!$A:$Y,24,FALSE)</f>
        <v>0</v>
      </c>
      <c r="L144">
        <f>VLOOKUP(A144,[2]SE_SUMMIT_2042_US40!$A:$Y,25,FALSE)</f>
        <v>0</v>
      </c>
      <c r="M144">
        <f>VLOOKUP(A144,[2]SE_SUMMIT_2042_US40!$A:$Z,26,FALSE)</f>
        <v>0</v>
      </c>
      <c r="N144">
        <f>VLOOKUP(A144,[3]SE_SUMMIT_2050_US40_Richardson_!$A:$Y,23,FALSE)</f>
        <v>24</v>
      </c>
      <c r="O144">
        <f>VLOOKUP(A144,[3]SE_SUMMIT_2050_US40_Richardson_!$A:$Y,24,FALSE)</f>
        <v>0</v>
      </c>
      <c r="P144">
        <f>VLOOKUP(A144,[3]SE_SUMMIT_2050_US40_Richardson_!$A:$Y,25,FALSE)</f>
        <v>0</v>
      </c>
      <c r="Q144">
        <f>VLOOKUP(A144,[3]SE_SUMMIT_2050_US40_Richardson_!$A:$Z,26,FALSE)</f>
        <v>0</v>
      </c>
      <c r="R144">
        <f t="shared" si="8"/>
        <v>0</v>
      </c>
      <c r="S144">
        <f t="shared" si="9"/>
        <v>0</v>
      </c>
      <c r="T144">
        <f t="shared" si="10"/>
        <v>0</v>
      </c>
      <c r="U144">
        <f t="shared" si="11"/>
        <v>0</v>
      </c>
    </row>
    <row r="145" spans="1:21" x14ac:dyDescent="0.25">
      <c r="A145">
        <v>43144</v>
      </c>
      <c r="B145">
        <v>0</v>
      </c>
      <c r="C145">
        <v>0</v>
      </c>
      <c r="D145">
        <v>0</v>
      </c>
      <c r="E145">
        <v>0</v>
      </c>
      <c r="F145">
        <f>VLOOKUP(A145,[1]SE_SUMMIT_2032_US40!$A:$Y,23,FALSE)</f>
        <v>0</v>
      </c>
      <c r="G145">
        <f>VLOOKUP(A145,[1]SE_SUMMIT_2032_US40!$A:$Y,24,FALSE)</f>
        <v>0</v>
      </c>
      <c r="H145">
        <f>VLOOKUP(A145,[1]SE_SUMMIT_2032_US40!$A:$Y,25,FALSE)</f>
        <v>0</v>
      </c>
      <c r="I145">
        <f>VLOOKUP(A145,[1]SE_SUMMIT_2032_US40!$A:$Z,26,FALSE)</f>
        <v>0</v>
      </c>
      <c r="J145">
        <f>VLOOKUP(A145,[2]SE_SUMMIT_2042_US40!$A:$Y,23,FALSE)</f>
        <v>0</v>
      </c>
      <c r="K145">
        <f>VLOOKUP(A145,[2]SE_SUMMIT_2042_US40!$A:$Y,24,FALSE)</f>
        <v>0</v>
      </c>
      <c r="L145">
        <f>VLOOKUP(A145,[2]SE_SUMMIT_2042_US40!$A:$Y,25,FALSE)</f>
        <v>0</v>
      </c>
      <c r="M145">
        <f>VLOOKUP(A145,[2]SE_SUMMIT_2042_US40!$A:$Z,26,FALSE)</f>
        <v>0</v>
      </c>
      <c r="N145">
        <f>VLOOKUP(A145,[3]SE_SUMMIT_2050_US40_Richardson_!$A:$Y,23,FALSE)</f>
        <v>0</v>
      </c>
      <c r="O145">
        <f>VLOOKUP(A145,[3]SE_SUMMIT_2050_US40_Richardson_!$A:$Y,24,FALSE)</f>
        <v>0</v>
      </c>
      <c r="P145">
        <f>VLOOKUP(A145,[3]SE_SUMMIT_2050_US40_Richardson_!$A:$Y,25,FALSE)</f>
        <v>0</v>
      </c>
      <c r="Q145">
        <f>VLOOKUP(A145,[3]SE_SUMMIT_2050_US40_Richardson_!$A:$Z,26,FALSE)</f>
        <v>0</v>
      </c>
      <c r="R145">
        <f t="shared" si="8"/>
        <v>0</v>
      </c>
      <c r="S145">
        <f t="shared" si="9"/>
        <v>0</v>
      </c>
      <c r="T145">
        <f t="shared" si="10"/>
        <v>0</v>
      </c>
      <c r="U145">
        <f t="shared" si="11"/>
        <v>0</v>
      </c>
    </row>
    <row r="146" spans="1:21" x14ac:dyDescent="0.25">
      <c r="A146">
        <v>43145</v>
      </c>
      <c r="B146">
        <v>33</v>
      </c>
      <c r="C146">
        <v>0</v>
      </c>
      <c r="D146">
        <v>0</v>
      </c>
      <c r="E146">
        <v>0</v>
      </c>
      <c r="F146">
        <f>VLOOKUP(A146,[1]SE_SUMMIT_2032_US40!$A:$Y,23,FALSE)</f>
        <v>33</v>
      </c>
      <c r="G146">
        <f>VLOOKUP(A146,[1]SE_SUMMIT_2032_US40!$A:$Y,24,FALSE)</f>
        <v>0</v>
      </c>
      <c r="H146">
        <f>VLOOKUP(A146,[1]SE_SUMMIT_2032_US40!$A:$Y,25,FALSE)</f>
        <v>0</v>
      </c>
      <c r="I146">
        <f>VLOOKUP(A146,[1]SE_SUMMIT_2032_US40!$A:$Z,26,FALSE)</f>
        <v>0</v>
      </c>
      <c r="J146">
        <f>VLOOKUP(A146,[2]SE_SUMMIT_2042_US40!$A:$Y,23,FALSE)</f>
        <v>33</v>
      </c>
      <c r="K146">
        <f>VLOOKUP(A146,[2]SE_SUMMIT_2042_US40!$A:$Y,24,FALSE)</f>
        <v>0</v>
      </c>
      <c r="L146">
        <f>VLOOKUP(A146,[2]SE_SUMMIT_2042_US40!$A:$Y,25,FALSE)</f>
        <v>0</v>
      </c>
      <c r="M146">
        <f>VLOOKUP(A146,[2]SE_SUMMIT_2042_US40!$A:$Z,26,FALSE)</f>
        <v>0</v>
      </c>
      <c r="N146">
        <f>VLOOKUP(A146,[3]SE_SUMMIT_2050_US40_Richardson_!$A:$Y,23,FALSE)</f>
        <v>33</v>
      </c>
      <c r="O146">
        <f>VLOOKUP(A146,[3]SE_SUMMIT_2050_US40_Richardson_!$A:$Y,24,FALSE)</f>
        <v>0</v>
      </c>
      <c r="P146">
        <f>VLOOKUP(A146,[3]SE_SUMMIT_2050_US40_Richardson_!$A:$Y,25,FALSE)</f>
        <v>0</v>
      </c>
      <c r="Q146">
        <f>VLOOKUP(A146,[3]SE_SUMMIT_2050_US40_Richardson_!$A:$Z,26,FALSE)</f>
        <v>0</v>
      </c>
      <c r="R146">
        <f t="shared" si="8"/>
        <v>0</v>
      </c>
      <c r="S146">
        <f t="shared" si="9"/>
        <v>0</v>
      </c>
      <c r="T146">
        <f t="shared" si="10"/>
        <v>0</v>
      </c>
      <c r="U146">
        <f t="shared" si="11"/>
        <v>0</v>
      </c>
    </row>
    <row r="147" spans="1:21" x14ac:dyDescent="0.25">
      <c r="A147">
        <v>43146</v>
      </c>
      <c r="B147">
        <v>28</v>
      </c>
      <c r="C147">
        <v>0</v>
      </c>
      <c r="D147">
        <v>0</v>
      </c>
      <c r="E147">
        <v>0</v>
      </c>
      <c r="F147">
        <f>VLOOKUP(A147,[1]SE_SUMMIT_2032_US40!$A:$Y,23,FALSE)</f>
        <v>28</v>
      </c>
      <c r="G147">
        <f>VLOOKUP(A147,[1]SE_SUMMIT_2032_US40!$A:$Y,24,FALSE)</f>
        <v>0</v>
      </c>
      <c r="H147">
        <f>VLOOKUP(A147,[1]SE_SUMMIT_2032_US40!$A:$Y,25,FALSE)</f>
        <v>0</v>
      </c>
      <c r="I147">
        <f>VLOOKUP(A147,[1]SE_SUMMIT_2032_US40!$A:$Z,26,FALSE)</f>
        <v>0</v>
      </c>
      <c r="J147">
        <f>VLOOKUP(A147,[2]SE_SUMMIT_2042_US40!$A:$Y,23,FALSE)</f>
        <v>28</v>
      </c>
      <c r="K147">
        <f>VLOOKUP(A147,[2]SE_SUMMIT_2042_US40!$A:$Y,24,FALSE)</f>
        <v>0</v>
      </c>
      <c r="L147">
        <f>VLOOKUP(A147,[2]SE_SUMMIT_2042_US40!$A:$Y,25,FALSE)</f>
        <v>0</v>
      </c>
      <c r="M147">
        <f>VLOOKUP(A147,[2]SE_SUMMIT_2042_US40!$A:$Z,26,FALSE)</f>
        <v>0</v>
      </c>
      <c r="N147">
        <f>VLOOKUP(A147,[3]SE_SUMMIT_2050_US40_Richardson_!$A:$Y,23,FALSE)</f>
        <v>28</v>
      </c>
      <c r="O147">
        <f>VLOOKUP(A147,[3]SE_SUMMIT_2050_US40_Richardson_!$A:$Y,24,FALSE)</f>
        <v>0</v>
      </c>
      <c r="P147">
        <f>VLOOKUP(A147,[3]SE_SUMMIT_2050_US40_Richardson_!$A:$Y,25,FALSE)</f>
        <v>0</v>
      </c>
      <c r="Q147">
        <f>VLOOKUP(A147,[3]SE_SUMMIT_2050_US40_Richardson_!$A:$Z,26,FALSE)</f>
        <v>0</v>
      </c>
      <c r="R147">
        <f t="shared" si="8"/>
        <v>0</v>
      </c>
      <c r="S147">
        <f t="shared" si="9"/>
        <v>0</v>
      </c>
      <c r="T147">
        <f t="shared" si="10"/>
        <v>0</v>
      </c>
      <c r="U147">
        <f t="shared" si="11"/>
        <v>0</v>
      </c>
    </row>
    <row r="148" spans="1:21" x14ac:dyDescent="0.25">
      <c r="A148">
        <v>43147</v>
      </c>
      <c r="B148">
        <v>4</v>
      </c>
      <c r="C148">
        <v>0</v>
      </c>
      <c r="D148">
        <v>0</v>
      </c>
      <c r="E148">
        <v>0</v>
      </c>
      <c r="F148">
        <f>VLOOKUP(A148,[1]SE_SUMMIT_2032_US40!$A:$Y,23,FALSE)</f>
        <v>4</v>
      </c>
      <c r="G148">
        <f>VLOOKUP(A148,[1]SE_SUMMIT_2032_US40!$A:$Y,24,FALSE)</f>
        <v>0</v>
      </c>
      <c r="H148">
        <f>VLOOKUP(A148,[1]SE_SUMMIT_2032_US40!$A:$Y,25,FALSE)</f>
        <v>0</v>
      </c>
      <c r="I148">
        <f>VLOOKUP(A148,[1]SE_SUMMIT_2032_US40!$A:$Z,26,FALSE)</f>
        <v>0</v>
      </c>
      <c r="J148">
        <f>VLOOKUP(A148,[2]SE_SUMMIT_2042_US40!$A:$Y,23,FALSE)</f>
        <v>4</v>
      </c>
      <c r="K148">
        <f>VLOOKUP(A148,[2]SE_SUMMIT_2042_US40!$A:$Y,24,FALSE)</f>
        <v>0</v>
      </c>
      <c r="L148">
        <f>VLOOKUP(A148,[2]SE_SUMMIT_2042_US40!$A:$Y,25,FALSE)</f>
        <v>0</v>
      </c>
      <c r="M148">
        <f>VLOOKUP(A148,[2]SE_SUMMIT_2042_US40!$A:$Z,26,FALSE)</f>
        <v>0</v>
      </c>
      <c r="N148">
        <f>VLOOKUP(A148,[3]SE_SUMMIT_2050_US40_Richardson_!$A:$Y,23,FALSE)</f>
        <v>4</v>
      </c>
      <c r="O148">
        <f>VLOOKUP(A148,[3]SE_SUMMIT_2050_US40_Richardson_!$A:$Y,24,FALSE)</f>
        <v>0</v>
      </c>
      <c r="P148">
        <f>VLOOKUP(A148,[3]SE_SUMMIT_2050_US40_Richardson_!$A:$Y,25,FALSE)</f>
        <v>0</v>
      </c>
      <c r="Q148">
        <f>VLOOKUP(A148,[3]SE_SUMMIT_2050_US40_Richardson_!$A:$Z,26,FALSE)</f>
        <v>0</v>
      </c>
      <c r="R148">
        <f t="shared" si="8"/>
        <v>0</v>
      </c>
      <c r="S148">
        <f t="shared" si="9"/>
        <v>0</v>
      </c>
      <c r="T148">
        <f t="shared" si="10"/>
        <v>0</v>
      </c>
      <c r="U148">
        <f t="shared" si="11"/>
        <v>0</v>
      </c>
    </row>
    <row r="149" spans="1:21" x14ac:dyDescent="0.25">
      <c r="A149">
        <v>43148</v>
      </c>
      <c r="B149">
        <v>8</v>
      </c>
      <c r="C149">
        <v>0</v>
      </c>
      <c r="D149">
        <v>0</v>
      </c>
      <c r="E149">
        <v>0</v>
      </c>
      <c r="F149">
        <f>VLOOKUP(A149,[1]SE_SUMMIT_2032_US40!$A:$Y,23,FALSE)</f>
        <v>8</v>
      </c>
      <c r="G149">
        <f>VLOOKUP(A149,[1]SE_SUMMIT_2032_US40!$A:$Y,24,FALSE)</f>
        <v>0</v>
      </c>
      <c r="H149">
        <f>VLOOKUP(A149,[1]SE_SUMMIT_2032_US40!$A:$Y,25,FALSE)</f>
        <v>0</v>
      </c>
      <c r="I149">
        <f>VLOOKUP(A149,[1]SE_SUMMIT_2032_US40!$A:$Z,26,FALSE)</f>
        <v>0</v>
      </c>
      <c r="J149">
        <f>VLOOKUP(A149,[2]SE_SUMMIT_2042_US40!$A:$Y,23,FALSE)</f>
        <v>8</v>
      </c>
      <c r="K149">
        <f>VLOOKUP(A149,[2]SE_SUMMIT_2042_US40!$A:$Y,24,FALSE)</f>
        <v>0</v>
      </c>
      <c r="L149">
        <f>VLOOKUP(A149,[2]SE_SUMMIT_2042_US40!$A:$Y,25,FALSE)</f>
        <v>0</v>
      </c>
      <c r="M149">
        <f>VLOOKUP(A149,[2]SE_SUMMIT_2042_US40!$A:$Z,26,FALSE)</f>
        <v>0</v>
      </c>
      <c r="N149">
        <f>VLOOKUP(A149,[3]SE_SUMMIT_2050_US40_Richardson_!$A:$Y,23,FALSE)</f>
        <v>8</v>
      </c>
      <c r="O149">
        <f>VLOOKUP(A149,[3]SE_SUMMIT_2050_US40_Richardson_!$A:$Y,24,FALSE)</f>
        <v>0</v>
      </c>
      <c r="P149">
        <f>VLOOKUP(A149,[3]SE_SUMMIT_2050_US40_Richardson_!$A:$Y,25,FALSE)</f>
        <v>0</v>
      </c>
      <c r="Q149">
        <f>VLOOKUP(A149,[3]SE_SUMMIT_2050_US40_Richardson_!$A:$Z,26,FALSE)</f>
        <v>0</v>
      </c>
      <c r="R149">
        <f t="shared" si="8"/>
        <v>0</v>
      </c>
      <c r="S149">
        <f t="shared" si="9"/>
        <v>0</v>
      </c>
      <c r="T149">
        <f t="shared" si="10"/>
        <v>0</v>
      </c>
      <c r="U149">
        <f t="shared" si="11"/>
        <v>0</v>
      </c>
    </row>
    <row r="150" spans="1:21" x14ac:dyDescent="0.25">
      <c r="A150">
        <v>43149</v>
      </c>
      <c r="B150">
        <v>3</v>
      </c>
      <c r="C150">
        <v>0</v>
      </c>
      <c r="D150">
        <v>0</v>
      </c>
      <c r="E150">
        <v>0</v>
      </c>
      <c r="F150">
        <f>VLOOKUP(A150,[1]SE_SUMMIT_2032_US40!$A:$Y,23,FALSE)</f>
        <v>3</v>
      </c>
      <c r="G150">
        <f>VLOOKUP(A150,[1]SE_SUMMIT_2032_US40!$A:$Y,24,FALSE)</f>
        <v>0</v>
      </c>
      <c r="H150">
        <f>VLOOKUP(A150,[1]SE_SUMMIT_2032_US40!$A:$Y,25,FALSE)</f>
        <v>0</v>
      </c>
      <c r="I150">
        <f>VLOOKUP(A150,[1]SE_SUMMIT_2032_US40!$A:$Z,26,FALSE)</f>
        <v>0</v>
      </c>
      <c r="J150">
        <f>VLOOKUP(A150,[2]SE_SUMMIT_2042_US40!$A:$Y,23,FALSE)</f>
        <v>3</v>
      </c>
      <c r="K150">
        <f>VLOOKUP(A150,[2]SE_SUMMIT_2042_US40!$A:$Y,24,FALSE)</f>
        <v>0</v>
      </c>
      <c r="L150">
        <f>VLOOKUP(A150,[2]SE_SUMMIT_2042_US40!$A:$Y,25,FALSE)</f>
        <v>0</v>
      </c>
      <c r="M150">
        <f>VLOOKUP(A150,[2]SE_SUMMIT_2042_US40!$A:$Z,26,FALSE)</f>
        <v>0</v>
      </c>
      <c r="N150">
        <f>VLOOKUP(A150,[3]SE_SUMMIT_2050_US40_Richardson_!$A:$Y,23,FALSE)</f>
        <v>3</v>
      </c>
      <c r="O150">
        <f>VLOOKUP(A150,[3]SE_SUMMIT_2050_US40_Richardson_!$A:$Y,24,FALSE)</f>
        <v>0</v>
      </c>
      <c r="P150">
        <f>VLOOKUP(A150,[3]SE_SUMMIT_2050_US40_Richardson_!$A:$Y,25,FALSE)</f>
        <v>0</v>
      </c>
      <c r="Q150">
        <f>VLOOKUP(A150,[3]SE_SUMMIT_2050_US40_Richardson_!$A:$Z,26,FALSE)</f>
        <v>0</v>
      </c>
      <c r="R150">
        <f t="shared" si="8"/>
        <v>0</v>
      </c>
      <c r="S150">
        <f t="shared" si="9"/>
        <v>0</v>
      </c>
      <c r="T150">
        <f t="shared" si="10"/>
        <v>0</v>
      </c>
      <c r="U150">
        <f t="shared" si="11"/>
        <v>0</v>
      </c>
    </row>
    <row r="151" spans="1:21" x14ac:dyDescent="0.25">
      <c r="A151">
        <v>43150</v>
      </c>
      <c r="B151">
        <v>49</v>
      </c>
      <c r="C151">
        <v>0</v>
      </c>
      <c r="D151">
        <v>0</v>
      </c>
      <c r="E151">
        <v>0</v>
      </c>
      <c r="F151">
        <f>VLOOKUP(A151,[1]SE_SUMMIT_2032_US40!$A:$Y,23,FALSE)</f>
        <v>49</v>
      </c>
      <c r="G151">
        <f>VLOOKUP(A151,[1]SE_SUMMIT_2032_US40!$A:$Y,24,FALSE)</f>
        <v>0</v>
      </c>
      <c r="H151">
        <f>VLOOKUP(A151,[1]SE_SUMMIT_2032_US40!$A:$Y,25,FALSE)</f>
        <v>0</v>
      </c>
      <c r="I151">
        <f>VLOOKUP(A151,[1]SE_SUMMIT_2032_US40!$A:$Z,26,FALSE)</f>
        <v>0</v>
      </c>
      <c r="J151">
        <f>VLOOKUP(A151,[2]SE_SUMMIT_2042_US40!$A:$Y,23,FALSE)</f>
        <v>49</v>
      </c>
      <c r="K151">
        <f>VLOOKUP(A151,[2]SE_SUMMIT_2042_US40!$A:$Y,24,FALSE)</f>
        <v>0</v>
      </c>
      <c r="L151">
        <f>VLOOKUP(A151,[2]SE_SUMMIT_2042_US40!$A:$Y,25,FALSE)</f>
        <v>0</v>
      </c>
      <c r="M151">
        <f>VLOOKUP(A151,[2]SE_SUMMIT_2042_US40!$A:$Z,26,FALSE)</f>
        <v>0</v>
      </c>
      <c r="N151">
        <f>VLOOKUP(A151,[3]SE_SUMMIT_2050_US40_Richardson_!$A:$Y,23,FALSE)</f>
        <v>49</v>
      </c>
      <c r="O151">
        <f>VLOOKUP(A151,[3]SE_SUMMIT_2050_US40_Richardson_!$A:$Y,24,FALSE)</f>
        <v>0</v>
      </c>
      <c r="P151">
        <f>VLOOKUP(A151,[3]SE_SUMMIT_2050_US40_Richardson_!$A:$Y,25,FALSE)</f>
        <v>0</v>
      </c>
      <c r="Q151">
        <f>VLOOKUP(A151,[3]SE_SUMMIT_2050_US40_Richardson_!$A:$Z,26,FALSE)</f>
        <v>0</v>
      </c>
      <c r="R151">
        <f t="shared" si="8"/>
        <v>0</v>
      </c>
      <c r="S151">
        <f t="shared" si="9"/>
        <v>0</v>
      </c>
      <c r="T151">
        <f t="shared" si="10"/>
        <v>0</v>
      </c>
      <c r="U151">
        <f t="shared" si="11"/>
        <v>0</v>
      </c>
    </row>
    <row r="152" spans="1:21" x14ac:dyDescent="0.25">
      <c r="A152">
        <v>43151</v>
      </c>
      <c r="B152">
        <v>5</v>
      </c>
      <c r="C152">
        <v>0</v>
      </c>
      <c r="D152">
        <v>0</v>
      </c>
      <c r="E152">
        <v>0</v>
      </c>
      <c r="F152">
        <f>VLOOKUP(A152,[1]SE_SUMMIT_2032_US40!$A:$Y,23,FALSE)</f>
        <v>5</v>
      </c>
      <c r="G152">
        <f>VLOOKUP(A152,[1]SE_SUMMIT_2032_US40!$A:$Y,24,FALSE)</f>
        <v>0</v>
      </c>
      <c r="H152">
        <f>VLOOKUP(A152,[1]SE_SUMMIT_2032_US40!$A:$Y,25,FALSE)</f>
        <v>0</v>
      </c>
      <c r="I152">
        <f>VLOOKUP(A152,[1]SE_SUMMIT_2032_US40!$A:$Z,26,FALSE)</f>
        <v>0</v>
      </c>
      <c r="J152">
        <f>VLOOKUP(A152,[2]SE_SUMMIT_2042_US40!$A:$Y,23,FALSE)</f>
        <v>5</v>
      </c>
      <c r="K152">
        <f>VLOOKUP(A152,[2]SE_SUMMIT_2042_US40!$A:$Y,24,FALSE)</f>
        <v>0</v>
      </c>
      <c r="L152">
        <f>VLOOKUP(A152,[2]SE_SUMMIT_2042_US40!$A:$Y,25,FALSE)</f>
        <v>0</v>
      </c>
      <c r="M152">
        <f>VLOOKUP(A152,[2]SE_SUMMIT_2042_US40!$A:$Z,26,FALSE)</f>
        <v>0</v>
      </c>
      <c r="N152">
        <f>VLOOKUP(A152,[3]SE_SUMMIT_2050_US40_Richardson_!$A:$Y,23,FALSE)</f>
        <v>5</v>
      </c>
      <c r="O152">
        <f>VLOOKUP(A152,[3]SE_SUMMIT_2050_US40_Richardson_!$A:$Y,24,FALSE)</f>
        <v>0</v>
      </c>
      <c r="P152">
        <f>VLOOKUP(A152,[3]SE_SUMMIT_2050_US40_Richardson_!$A:$Y,25,FALSE)</f>
        <v>0</v>
      </c>
      <c r="Q152">
        <f>VLOOKUP(A152,[3]SE_SUMMIT_2050_US40_Richardson_!$A:$Z,26,FALSE)</f>
        <v>0</v>
      </c>
      <c r="R152">
        <f t="shared" si="8"/>
        <v>0</v>
      </c>
      <c r="S152">
        <f t="shared" si="9"/>
        <v>0</v>
      </c>
      <c r="T152">
        <f t="shared" si="10"/>
        <v>0</v>
      </c>
      <c r="U152">
        <f t="shared" si="11"/>
        <v>0</v>
      </c>
    </row>
    <row r="153" spans="1:21" x14ac:dyDescent="0.25">
      <c r="A153">
        <v>43152</v>
      </c>
      <c r="B153">
        <v>5</v>
      </c>
      <c r="C153">
        <v>0</v>
      </c>
      <c r="D153">
        <v>0</v>
      </c>
      <c r="E153">
        <v>0</v>
      </c>
      <c r="F153">
        <f>VLOOKUP(A153,[1]SE_SUMMIT_2032_US40!$A:$Y,23,FALSE)</f>
        <v>5</v>
      </c>
      <c r="G153">
        <f>VLOOKUP(A153,[1]SE_SUMMIT_2032_US40!$A:$Y,24,FALSE)</f>
        <v>0</v>
      </c>
      <c r="H153">
        <f>VLOOKUP(A153,[1]SE_SUMMIT_2032_US40!$A:$Y,25,FALSE)</f>
        <v>0</v>
      </c>
      <c r="I153">
        <f>VLOOKUP(A153,[1]SE_SUMMIT_2032_US40!$A:$Z,26,FALSE)</f>
        <v>0</v>
      </c>
      <c r="J153">
        <f>VLOOKUP(A153,[2]SE_SUMMIT_2042_US40!$A:$Y,23,FALSE)</f>
        <v>5</v>
      </c>
      <c r="K153">
        <f>VLOOKUP(A153,[2]SE_SUMMIT_2042_US40!$A:$Y,24,FALSE)</f>
        <v>0</v>
      </c>
      <c r="L153">
        <f>VLOOKUP(A153,[2]SE_SUMMIT_2042_US40!$A:$Y,25,FALSE)</f>
        <v>0</v>
      </c>
      <c r="M153">
        <f>VLOOKUP(A153,[2]SE_SUMMIT_2042_US40!$A:$Z,26,FALSE)</f>
        <v>0</v>
      </c>
      <c r="N153">
        <f>VLOOKUP(A153,[3]SE_SUMMIT_2050_US40_Richardson_!$A:$Y,23,FALSE)</f>
        <v>5</v>
      </c>
      <c r="O153">
        <f>VLOOKUP(A153,[3]SE_SUMMIT_2050_US40_Richardson_!$A:$Y,24,FALSE)</f>
        <v>0</v>
      </c>
      <c r="P153">
        <f>VLOOKUP(A153,[3]SE_SUMMIT_2050_US40_Richardson_!$A:$Y,25,FALSE)</f>
        <v>0</v>
      </c>
      <c r="Q153">
        <f>VLOOKUP(A153,[3]SE_SUMMIT_2050_US40_Richardson_!$A:$Z,26,FALSE)</f>
        <v>0</v>
      </c>
      <c r="R153">
        <f t="shared" si="8"/>
        <v>0</v>
      </c>
      <c r="S153">
        <f t="shared" si="9"/>
        <v>0</v>
      </c>
      <c r="T153">
        <f t="shared" si="10"/>
        <v>0</v>
      </c>
      <c r="U153">
        <f t="shared" si="11"/>
        <v>0</v>
      </c>
    </row>
    <row r="154" spans="1:21" x14ac:dyDescent="0.25">
      <c r="A154">
        <v>43153</v>
      </c>
      <c r="B154">
        <v>74</v>
      </c>
      <c r="C154">
        <v>0</v>
      </c>
      <c r="D154">
        <v>0</v>
      </c>
      <c r="E154">
        <v>0</v>
      </c>
      <c r="F154">
        <f>VLOOKUP(A154,[1]SE_SUMMIT_2032_US40!$A:$Y,23,FALSE)</f>
        <v>74</v>
      </c>
      <c r="G154">
        <f>VLOOKUP(A154,[1]SE_SUMMIT_2032_US40!$A:$Y,24,FALSE)</f>
        <v>0</v>
      </c>
      <c r="H154">
        <f>VLOOKUP(A154,[1]SE_SUMMIT_2032_US40!$A:$Y,25,FALSE)</f>
        <v>0</v>
      </c>
      <c r="I154">
        <f>VLOOKUP(A154,[1]SE_SUMMIT_2032_US40!$A:$Z,26,FALSE)</f>
        <v>0</v>
      </c>
      <c r="J154">
        <f>VLOOKUP(A154,[2]SE_SUMMIT_2042_US40!$A:$Y,23,FALSE)</f>
        <v>74</v>
      </c>
      <c r="K154">
        <f>VLOOKUP(A154,[2]SE_SUMMIT_2042_US40!$A:$Y,24,FALSE)</f>
        <v>0</v>
      </c>
      <c r="L154">
        <f>VLOOKUP(A154,[2]SE_SUMMIT_2042_US40!$A:$Y,25,FALSE)</f>
        <v>0</v>
      </c>
      <c r="M154">
        <f>VLOOKUP(A154,[2]SE_SUMMIT_2042_US40!$A:$Z,26,FALSE)</f>
        <v>0</v>
      </c>
      <c r="N154">
        <f>VLOOKUP(A154,[3]SE_SUMMIT_2050_US40_Richardson_!$A:$Y,23,FALSE)</f>
        <v>74</v>
      </c>
      <c r="O154">
        <f>VLOOKUP(A154,[3]SE_SUMMIT_2050_US40_Richardson_!$A:$Y,24,FALSE)</f>
        <v>0</v>
      </c>
      <c r="P154">
        <f>VLOOKUP(A154,[3]SE_SUMMIT_2050_US40_Richardson_!$A:$Y,25,FALSE)</f>
        <v>0</v>
      </c>
      <c r="Q154">
        <f>VLOOKUP(A154,[3]SE_SUMMIT_2050_US40_Richardson_!$A:$Z,26,FALSE)</f>
        <v>0</v>
      </c>
      <c r="R154">
        <f t="shared" si="8"/>
        <v>0</v>
      </c>
      <c r="S154">
        <f t="shared" si="9"/>
        <v>0</v>
      </c>
      <c r="T154">
        <f t="shared" si="10"/>
        <v>0</v>
      </c>
      <c r="U154">
        <f t="shared" si="11"/>
        <v>0</v>
      </c>
    </row>
    <row r="155" spans="1:21" x14ac:dyDescent="0.25">
      <c r="A155">
        <v>43154</v>
      </c>
      <c r="B155">
        <v>16</v>
      </c>
      <c r="C155">
        <v>0</v>
      </c>
      <c r="D155">
        <v>0</v>
      </c>
      <c r="E155">
        <v>0</v>
      </c>
      <c r="F155">
        <f>VLOOKUP(A155,[1]SE_SUMMIT_2032_US40!$A:$Y,23,FALSE)</f>
        <v>16</v>
      </c>
      <c r="G155">
        <f>VLOOKUP(A155,[1]SE_SUMMIT_2032_US40!$A:$Y,24,FALSE)</f>
        <v>0</v>
      </c>
      <c r="H155">
        <f>VLOOKUP(A155,[1]SE_SUMMIT_2032_US40!$A:$Y,25,FALSE)</f>
        <v>0</v>
      </c>
      <c r="I155">
        <f>VLOOKUP(A155,[1]SE_SUMMIT_2032_US40!$A:$Z,26,FALSE)</f>
        <v>0</v>
      </c>
      <c r="J155">
        <f>VLOOKUP(A155,[2]SE_SUMMIT_2042_US40!$A:$Y,23,FALSE)</f>
        <v>16</v>
      </c>
      <c r="K155">
        <f>VLOOKUP(A155,[2]SE_SUMMIT_2042_US40!$A:$Y,24,FALSE)</f>
        <v>0</v>
      </c>
      <c r="L155">
        <f>VLOOKUP(A155,[2]SE_SUMMIT_2042_US40!$A:$Y,25,FALSE)</f>
        <v>0</v>
      </c>
      <c r="M155">
        <f>VLOOKUP(A155,[2]SE_SUMMIT_2042_US40!$A:$Z,26,FALSE)</f>
        <v>0</v>
      </c>
      <c r="N155">
        <f>VLOOKUP(A155,[3]SE_SUMMIT_2050_US40_Richardson_!$A:$Y,23,FALSE)</f>
        <v>16</v>
      </c>
      <c r="O155">
        <f>VLOOKUP(A155,[3]SE_SUMMIT_2050_US40_Richardson_!$A:$Y,24,FALSE)</f>
        <v>0</v>
      </c>
      <c r="P155">
        <f>VLOOKUP(A155,[3]SE_SUMMIT_2050_US40_Richardson_!$A:$Y,25,FALSE)</f>
        <v>0</v>
      </c>
      <c r="Q155">
        <f>VLOOKUP(A155,[3]SE_SUMMIT_2050_US40_Richardson_!$A:$Z,26,FALSE)</f>
        <v>0</v>
      </c>
      <c r="R155">
        <f t="shared" si="8"/>
        <v>0</v>
      </c>
      <c r="S155">
        <f t="shared" si="9"/>
        <v>0</v>
      </c>
      <c r="T155">
        <f t="shared" si="10"/>
        <v>0</v>
      </c>
      <c r="U155">
        <f t="shared" si="11"/>
        <v>0</v>
      </c>
    </row>
    <row r="156" spans="1:21" x14ac:dyDescent="0.25">
      <c r="A156">
        <v>43155</v>
      </c>
      <c r="B156">
        <v>7</v>
      </c>
      <c r="C156">
        <v>0</v>
      </c>
      <c r="D156">
        <v>0</v>
      </c>
      <c r="E156">
        <v>0</v>
      </c>
      <c r="F156">
        <f>VLOOKUP(A156,[1]SE_SUMMIT_2032_US40!$A:$Y,23,FALSE)</f>
        <v>7</v>
      </c>
      <c r="G156">
        <f>VLOOKUP(A156,[1]SE_SUMMIT_2032_US40!$A:$Y,24,FALSE)</f>
        <v>0</v>
      </c>
      <c r="H156">
        <f>VLOOKUP(A156,[1]SE_SUMMIT_2032_US40!$A:$Y,25,FALSE)</f>
        <v>0</v>
      </c>
      <c r="I156">
        <f>VLOOKUP(A156,[1]SE_SUMMIT_2032_US40!$A:$Z,26,FALSE)</f>
        <v>0</v>
      </c>
      <c r="J156">
        <f>VLOOKUP(A156,[2]SE_SUMMIT_2042_US40!$A:$Y,23,FALSE)</f>
        <v>7</v>
      </c>
      <c r="K156">
        <f>VLOOKUP(A156,[2]SE_SUMMIT_2042_US40!$A:$Y,24,FALSE)</f>
        <v>0</v>
      </c>
      <c r="L156">
        <f>VLOOKUP(A156,[2]SE_SUMMIT_2042_US40!$A:$Y,25,FALSE)</f>
        <v>0</v>
      </c>
      <c r="M156">
        <f>VLOOKUP(A156,[2]SE_SUMMIT_2042_US40!$A:$Z,26,FALSE)</f>
        <v>0</v>
      </c>
      <c r="N156">
        <f>VLOOKUP(A156,[3]SE_SUMMIT_2050_US40_Richardson_!$A:$Y,23,FALSE)</f>
        <v>7</v>
      </c>
      <c r="O156">
        <f>VLOOKUP(A156,[3]SE_SUMMIT_2050_US40_Richardson_!$A:$Y,24,FALSE)</f>
        <v>0</v>
      </c>
      <c r="P156">
        <f>VLOOKUP(A156,[3]SE_SUMMIT_2050_US40_Richardson_!$A:$Y,25,FALSE)</f>
        <v>0</v>
      </c>
      <c r="Q156">
        <f>VLOOKUP(A156,[3]SE_SUMMIT_2050_US40_Richardson_!$A:$Z,26,FALSE)</f>
        <v>0</v>
      </c>
      <c r="R156">
        <f t="shared" si="8"/>
        <v>0</v>
      </c>
      <c r="S156">
        <f t="shared" si="9"/>
        <v>0</v>
      </c>
      <c r="T156">
        <f t="shared" si="10"/>
        <v>0</v>
      </c>
      <c r="U156">
        <f t="shared" si="11"/>
        <v>0</v>
      </c>
    </row>
    <row r="157" spans="1:21" x14ac:dyDescent="0.25">
      <c r="A157">
        <v>43156</v>
      </c>
      <c r="B157">
        <v>63</v>
      </c>
      <c r="C157">
        <v>0</v>
      </c>
      <c r="D157">
        <v>0</v>
      </c>
      <c r="E157">
        <v>0</v>
      </c>
      <c r="F157">
        <f>VLOOKUP(A157,[1]SE_SUMMIT_2032_US40!$A:$Y,23,FALSE)</f>
        <v>63</v>
      </c>
      <c r="G157">
        <f>VLOOKUP(A157,[1]SE_SUMMIT_2032_US40!$A:$Y,24,FALSE)</f>
        <v>0</v>
      </c>
      <c r="H157">
        <f>VLOOKUP(A157,[1]SE_SUMMIT_2032_US40!$A:$Y,25,FALSE)</f>
        <v>0</v>
      </c>
      <c r="I157">
        <f>VLOOKUP(A157,[1]SE_SUMMIT_2032_US40!$A:$Z,26,FALSE)</f>
        <v>0</v>
      </c>
      <c r="J157">
        <f>VLOOKUP(A157,[2]SE_SUMMIT_2042_US40!$A:$Y,23,FALSE)</f>
        <v>63</v>
      </c>
      <c r="K157">
        <f>VLOOKUP(A157,[2]SE_SUMMIT_2042_US40!$A:$Y,24,FALSE)</f>
        <v>0</v>
      </c>
      <c r="L157">
        <f>VLOOKUP(A157,[2]SE_SUMMIT_2042_US40!$A:$Y,25,FALSE)</f>
        <v>0</v>
      </c>
      <c r="M157">
        <f>VLOOKUP(A157,[2]SE_SUMMIT_2042_US40!$A:$Z,26,FALSE)</f>
        <v>0</v>
      </c>
      <c r="N157">
        <f>VLOOKUP(A157,[3]SE_SUMMIT_2050_US40_Richardson_!$A:$Y,23,FALSE)</f>
        <v>63</v>
      </c>
      <c r="O157">
        <f>VLOOKUP(A157,[3]SE_SUMMIT_2050_US40_Richardson_!$A:$Y,24,FALSE)</f>
        <v>0</v>
      </c>
      <c r="P157">
        <f>VLOOKUP(A157,[3]SE_SUMMIT_2050_US40_Richardson_!$A:$Y,25,FALSE)</f>
        <v>0</v>
      </c>
      <c r="Q157">
        <f>VLOOKUP(A157,[3]SE_SUMMIT_2050_US40_Richardson_!$A:$Z,26,FALSE)</f>
        <v>0</v>
      </c>
      <c r="R157">
        <f t="shared" si="8"/>
        <v>0</v>
      </c>
      <c r="S157">
        <f t="shared" si="9"/>
        <v>0</v>
      </c>
      <c r="T157">
        <f t="shared" si="10"/>
        <v>0</v>
      </c>
      <c r="U157">
        <f t="shared" si="11"/>
        <v>0</v>
      </c>
    </row>
    <row r="158" spans="1:21" x14ac:dyDescent="0.25">
      <c r="A158">
        <v>43157</v>
      </c>
      <c r="B158">
        <v>4</v>
      </c>
      <c r="C158">
        <v>0</v>
      </c>
      <c r="D158">
        <v>0</v>
      </c>
      <c r="E158">
        <v>0</v>
      </c>
      <c r="F158">
        <f>VLOOKUP(A158,[1]SE_SUMMIT_2032_US40!$A:$Y,23,FALSE)</f>
        <v>4</v>
      </c>
      <c r="G158">
        <f>VLOOKUP(A158,[1]SE_SUMMIT_2032_US40!$A:$Y,24,FALSE)</f>
        <v>0</v>
      </c>
      <c r="H158">
        <f>VLOOKUP(A158,[1]SE_SUMMIT_2032_US40!$A:$Y,25,FALSE)</f>
        <v>0</v>
      </c>
      <c r="I158">
        <f>VLOOKUP(A158,[1]SE_SUMMIT_2032_US40!$A:$Z,26,FALSE)</f>
        <v>0</v>
      </c>
      <c r="J158">
        <f>VLOOKUP(A158,[2]SE_SUMMIT_2042_US40!$A:$Y,23,FALSE)</f>
        <v>4</v>
      </c>
      <c r="K158">
        <f>VLOOKUP(A158,[2]SE_SUMMIT_2042_US40!$A:$Y,24,FALSE)</f>
        <v>0</v>
      </c>
      <c r="L158">
        <f>VLOOKUP(A158,[2]SE_SUMMIT_2042_US40!$A:$Y,25,FALSE)</f>
        <v>0</v>
      </c>
      <c r="M158">
        <f>VLOOKUP(A158,[2]SE_SUMMIT_2042_US40!$A:$Z,26,FALSE)</f>
        <v>0</v>
      </c>
      <c r="N158">
        <f>VLOOKUP(A158,[3]SE_SUMMIT_2050_US40_Richardson_!$A:$Y,23,FALSE)</f>
        <v>4</v>
      </c>
      <c r="O158">
        <f>VLOOKUP(A158,[3]SE_SUMMIT_2050_US40_Richardson_!$A:$Y,24,FALSE)</f>
        <v>0</v>
      </c>
      <c r="P158">
        <f>VLOOKUP(A158,[3]SE_SUMMIT_2050_US40_Richardson_!$A:$Y,25,FALSE)</f>
        <v>0</v>
      </c>
      <c r="Q158">
        <f>VLOOKUP(A158,[3]SE_SUMMIT_2050_US40_Richardson_!$A:$Z,26,FALSE)</f>
        <v>0</v>
      </c>
      <c r="R158">
        <f t="shared" si="8"/>
        <v>0</v>
      </c>
      <c r="S158">
        <f t="shared" si="9"/>
        <v>0</v>
      </c>
      <c r="T158">
        <f t="shared" si="10"/>
        <v>0</v>
      </c>
      <c r="U158">
        <f t="shared" si="11"/>
        <v>0</v>
      </c>
    </row>
    <row r="159" spans="1:21" x14ac:dyDescent="0.25">
      <c r="A159">
        <v>43158</v>
      </c>
      <c r="B159">
        <v>8</v>
      </c>
      <c r="C159">
        <v>0</v>
      </c>
      <c r="D159">
        <v>0</v>
      </c>
      <c r="E159">
        <v>0</v>
      </c>
      <c r="F159">
        <f>VLOOKUP(A159,[1]SE_SUMMIT_2032_US40!$A:$Y,23,FALSE)</f>
        <v>8</v>
      </c>
      <c r="G159">
        <f>VLOOKUP(A159,[1]SE_SUMMIT_2032_US40!$A:$Y,24,FALSE)</f>
        <v>0</v>
      </c>
      <c r="H159">
        <f>VLOOKUP(A159,[1]SE_SUMMIT_2032_US40!$A:$Y,25,FALSE)</f>
        <v>0</v>
      </c>
      <c r="I159">
        <f>VLOOKUP(A159,[1]SE_SUMMIT_2032_US40!$A:$Z,26,FALSE)</f>
        <v>0</v>
      </c>
      <c r="J159">
        <f>VLOOKUP(A159,[2]SE_SUMMIT_2042_US40!$A:$Y,23,FALSE)</f>
        <v>8</v>
      </c>
      <c r="K159">
        <f>VLOOKUP(A159,[2]SE_SUMMIT_2042_US40!$A:$Y,24,FALSE)</f>
        <v>0</v>
      </c>
      <c r="L159">
        <f>VLOOKUP(A159,[2]SE_SUMMIT_2042_US40!$A:$Y,25,FALSE)</f>
        <v>0</v>
      </c>
      <c r="M159">
        <f>VLOOKUP(A159,[2]SE_SUMMIT_2042_US40!$A:$Z,26,FALSE)</f>
        <v>0</v>
      </c>
      <c r="N159">
        <f>VLOOKUP(A159,[3]SE_SUMMIT_2050_US40_Richardson_!$A:$Y,23,FALSE)</f>
        <v>8</v>
      </c>
      <c r="O159">
        <f>VLOOKUP(A159,[3]SE_SUMMIT_2050_US40_Richardson_!$A:$Y,24,FALSE)</f>
        <v>0</v>
      </c>
      <c r="P159">
        <f>VLOOKUP(A159,[3]SE_SUMMIT_2050_US40_Richardson_!$A:$Y,25,FALSE)</f>
        <v>0</v>
      </c>
      <c r="Q159">
        <f>VLOOKUP(A159,[3]SE_SUMMIT_2050_US40_Richardson_!$A:$Z,26,FALSE)</f>
        <v>0</v>
      </c>
      <c r="R159">
        <f t="shared" si="8"/>
        <v>0</v>
      </c>
      <c r="S159">
        <f t="shared" si="9"/>
        <v>0</v>
      </c>
      <c r="T159">
        <f t="shared" si="10"/>
        <v>0</v>
      </c>
      <c r="U159">
        <f t="shared" si="11"/>
        <v>0</v>
      </c>
    </row>
    <row r="160" spans="1:21" x14ac:dyDescent="0.25">
      <c r="A160">
        <v>43159</v>
      </c>
      <c r="B160">
        <v>11</v>
      </c>
      <c r="C160">
        <v>0</v>
      </c>
      <c r="D160">
        <v>0</v>
      </c>
      <c r="E160">
        <v>0</v>
      </c>
      <c r="F160">
        <f>VLOOKUP(A160,[1]SE_SUMMIT_2032_US40!$A:$Y,23,FALSE)</f>
        <v>11</v>
      </c>
      <c r="G160">
        <f>VLOOKUP(A160,[1]SE_SUMMIT_2032_US40!$A:$Y,24,FALSE)</f>
        <v>0</v>
      </c>
      <c r="H160">
        <f>VLOOKUP(A160,[1]SE_SUMMIT_2032_US40!$A:$Y,25,FALSE)</f>
        <v>0</v>
      </c>
      <c r="I160">
        <f>VLOOKUP(A160,[1]SE_SUMMIT_2032_US40!$A:$Z,26,FALSE)</f>
        <v>0</v>
      </c>
      <c r="J160">
        <f>VLOOKUP(A160,[2]SE_SUMMIT_2042_US40!$A:$Y,23,FALSE)</f>
        <v>11</v>
      </c>
      <c r="K160">
        <f>VLOOKUP(A160,[2]SE_SUMMIT_2042_US40!$A:$Y,24,FALSE)</f>
        <v>0</v>
      </c>
      <c r="L160">
        <f>VLOOKUP(A160,[2]SE_SUMMIT_2042_US40!$A:$Y,25,FALSE)</f>
        <v>0</v>
      </c>
      <c r="M160">
        <f>VLOOKUP(A160,[2]SE_SUMMIT_2042_US40!$A:$Z,26,FALSE)</f>
        <v>0</v>
      </c>
      <c r="N160">
        <f>VLOOKUP(A160,[3]SE_SUMMIT_2050_US40_Richardson_!$A:$Y,23,FALSE)</f>
        <v>11</v>
      </c>
      <c r="O160">
        <f>VLOOKUP(A160,[3]SE_SUMMIT_2050_US40_Richardson_!$A:$Y,24,FALSE)</f>
        <v>0</v>
      </c>
      <c r="P160">
        <f>VLOOKUP(A160,[3]SE_SUMMIT_2050_US40_Richardson_!$A:$Y,25,FALSE)</f>
        <v>0</v>
      </c>
      <c r="Q160">
        <f>VLOOKUP(A160,[3]SE_SUMMIT_2050_US40_Richardson_!$A:$Z,26,FALSE)</f>
        <v>0</v>
      </c>
      <c r="R160">
        <f t="shared" si="8"/>
        <v>0</v>
      </c>
      <c r="S160">
        <f t="shared" si="9"/>
        <v>0</v>
      </c>
      <c r="T160">
        <f t="shared" si="10"/>
        <v>0</v>
      </c>
      <c r="U160">
        <f t="shared" si="11"/>
        <v>0</v>
      </c>
    </row>
    <row r="161" spans="1:21" x14ac:dyDescent="0.25">
      <c r="A161">
        <v>43160</v>
      </c>
      <c r="B161">
        <v>24</v>
      </c>
      <c r="C161">
        <v>0</v>
      </c>
      <c r="D161">
        <v>0</v>
      </c>
      <c r="E161">
        <v>0</v>
      </c>
      <c r="F161">
        <f>VLOOKUP(A161,[1]SE_SUMMIT_2032_US40!$A:$Y,23,FALSE)</f>
        <v>24</v>
      </c>
      <c r="G161">
        <f>VLOOKUP(A161,[1]SE_SUMMIT_2032_US40!$A:$Y,24,FALSE)</f>
        <v>0</v>
      </c>
      <c r="H161">
        <f>VLOOKUP(A161,[1]SE_SUMMIT_2032_US40!$A:$Y,25,FALSE)</f>
        <v>0</v>
      </c>
      <c r="I161">
        <f>VLOOKUP(A161,[1]SE_SUMMIT_2032_US40!$A:$Z,26,FALSE)</f>
        <v>0</v>
      </c>
      <c r="J161">
        <f>VLOOKUP(A161,[2]SE_SUMMIT_2042_US40!$A:$Y,23,FALSE)</f>
        <v>24</v>
      </c>
      <c r="K161">
        <f>VLOOKUP(A161,[2]SE_SUMMIT_2042_US40!$A:$Y,24,FALSE)</f>
        <v>0</v>
      </c>
      <c r="L161">
        <f>VLOOKUP(A161,[2]SE_SUMMIT_2042_US40!$A:$Y,25,FALSE)</f>
        <v>0</v>
      </c>
      <c r="M161">
        <f>VLOOKUP(A161,[2]SE_SUMMIT_2042_US40!$A:$Z,26,FALSE)</f>
        <v>0</v>
      </c>
      <c r="N161">
        <f>VLOOKUP(A161,[3]SE_SUMMIT_2050_US40_Richardson_!$A:$Y,23,FALSE)</f>
        <v>24</v>
      </c>
      <c r="O161">
        <f>VLOOKUP(A161,[3]SE_SUMMIT_2050_US40_Richardson_!$A:$Y,24,FALSE)</f>
        <v>0</v>
      </c>
      <c r="P161">
        <f>VLOOKUP(A161,[3]SE_SUMMIT_2050_US40_Richardson_!$A:$Y,25,FALSE)</f>
        <v>0</v>
      </c>
      <c r="Q161">
        <f>VLOOKUP(A161,[3]SE_SUMMIT_2050_US40_Richardson_!$A:$Z,26,FALSE)</f>
        <v>0</v>
      </c>
      <c r="R161">
        <f t="shared" si="8"/>
        <v>0</v>
      </c>
      <c r="S161">
        <f t="shared" si="9"/>
        <v>0</v>
      </c>
      <c r="T161">
        <f t="shared" si="10"/>
        <v>0</v>
      </c>
      <c r="U161">
        <f t="shared" si="11"/>
        <v>0</v>
      </c>
    </row>
    <row r="162" spans="1:21" x14ac:dyDescent="0.25">
      <c r="A162">
        <v>43161</v>
      </c>
      <c r="B162">
        <v>3</v>
      </c>
      <c r="C162">
        <v>0</v>
      </c>
      <c r="D162">
        <v>0</v>
      </c>
      <c r="E162">
        <v>0</v>
      </c>
      <c r="F162">
        <f>VLOOKUP(A162,[1]SE_SUMMIT_2032_US40!$A:$Y,23,FALSE)</f>
        <v>3</v>
      </c>
      <c r="G162">
        <f>VLOOKUP(A162,[1]SE_SUMMIT_2032_US40!$A:$Y,24,FALSE)</f>
        <v>0</v>
      </c>
      <c r="H162">
        <f>VLOOKUP(A162,[1]SE_SUMMIT_2032_US40!$A:$Y,25,FALSE)</f>
        <v>0</v>
      </c>
      <c r="I162">
        <f>VLOOKUP(A162,[1]SE_SUMMIT_2032_US40!$A:$Z,26,FALSE)</f>
        <v>0</v>
      </c>
      <c r="J162">
        <f>VLOOKUP(A162,[2]SE_SUMMIT_2042_US40!$A:$Y,23,FALSE)</f>
        <v>3</v>
      </c>
      <c r="K162">
        <f>VLOOKUP(A162,[2]SE_SUMMIT_2042_US40!$A:$Y,24,FALSE)</f>
        <v>0</v>
      </c>
      <c r="L162">
        <f>VLOOKUP(A162,[2]SE_SUMMIT_2042_US40!$A:$Y,25,FALSE)</f>
        <v>0</v>
      </c>
      <c r="M162">
        <f>VLOOKUP(A162,[2]SE_SUMMIT_2042_US40!$A:$Z,26,FALSE)</f>
        <v>0</v>
      </c>
      <c r="N162">
        <f>VLOOKUP(A162,[3]SE_SUMMIT_2050_US40_Richardson_!$A:$Y,23,FALSE)</f>
        <v>3</v>
      </c>
      <c r="O162">
        <f>VLOOKUP(A162,[3]SE_SUMMIT_2050_US40_Richardson_!$A:$Y,24,FALSE)</f>
        <v>0</v>
      </c>
      <c r="P162">
        <f>VLOOKUP(A162,[3]SE_SUMMIT_2050_US40_Richardson_!$A:$Y,25,FALSE)</f>
        <v>0</v>
      </c>
      <c r="Q162">
        <f>VLOOKUP(A162,[3]SE_SUMMIT_2050_US40_Richardson_!$A:$Z,26,FALSE)</f>
        <v>0</v>
      </c>
      <c r="R162">
        <f t="shared" si="8"/>
        <v>0</v>
      </c>
      <c r="S162">
        <f t="shared" si="9"/>
        <v>0</v>
      </c>
      <c r="T162">
        <f t="shared" si="10"/>
        <v>0</v>
      </c>
      <c r="U162">
        <f t="shared" si="11"/>
        <v>0</v>
      </c>
    </row>
    <row r="163" spans="1:21" x14ac:dyDescent="0.25">
      <c r="A163">
        <v>43162</v>
      </c>
      <c r="B163">
        <v>1</v>
      </c>
      <c r="C163">
        <v>0</v>
      </c>
      <c r="D163">
        <v>0</v>
      </c>
      <c r="E163">
        <v>0</v>
      </c>
      <c r="F163">
        <f>VLOOKUP(A163,[1]SE_SUMMIT_2032_US40!$A:$Y,23,FALSE)</f>
        <v>1</v>
      </c>
      <c r="G163">
        <f>VLOOKUP(A163,[1]SE_SUMMIT_2032_US40!$A:$Y,24,FALSE)</f>
        <v>0</v>
      </c>
      <c r="H163">
        <f>VLOOKUP(A163,[1]SE_SUMMIT_2032_US40!$A:$Y,25,FALSE)</f>
        <v>0</v>
      </c>
      <c r="I163">
        <f>VLOOKUP(A163,[1]SE_SUMMIT_2032_US40!$A:$Z,26,FALSE)</f>
        <v>0</v>
      </c>
      <c r="J163">
        <f>VLOOKUP(A163,[2]SE_SUMMIT_2042_US40!$A:$Y,23,FALSE)</f>
        <v>1</v>
      </c>
      <c r="K163">
        <f>VLOOKUP(A163,[2]SE_SUMMIT_2042_US40!$A:$Y,24,FALSE)</f>
        <v>0</v>
      </c>
      <c r="L163">
        <f>VLOOKUP(A163,[2]SE_SUMMIT_2042_US40!$A:$Y,25,FALSE)</f>
        <v>0</v>
      </c>
      <c r="M163">
        <f>VLOOKUP(A163,[2]SE_SUMMIT_2042_US40!$A:$Z,26,FALSE)</f>
        <v>0</v>
      </c>
      <c r="N163">
        <f>VLOOKUP(A163,[3]SE_SUMMIT_2050_US40_Richardson_!$A:$Y,23,FALSE)</f>
        <v>1</v>
      </c>
      <c r="O163">
        <f>VLOOKUP(A163,[3]SE_SUMMIT_2050_US40_Richardson_!$A:$Y,24,FALSE)</f>
        <v>0</v>
      </c>
      <c r="P163">
        <f>VLOOKUP(A163,[3]SE_SUMMIT_2050_US40_Richardson_!$A:$Y,25,FALSE)</f>
        <v>0</v>
      </c>
      <c r="Q163">
        <f>VLOOKUP(A163,[3]SE_SUMMIT_2050_US40_Richardson_!$A:$Z,26,FALSE)</f>
        <v>0</v>
      </c>
      <c r="R163">
        <f t="shared" si="8"/>
        <v>0</v>
      </c>
      <c r="S163">
        <f t="shared" si="9"/>
        <v>0</v>
      </c>
      <c r="T163">
        <f t="shared" si="10"/>
        <v>0</v>
      </c>
      <c r="U163">
        <f t="shared" si="11"/>
        <v>0</v>
      </c>
    </row>
    <row r="164" spans="1:21" x14ac:dyDescent="0.25">
      <c r="A164">
        <v>43163</v>
      </c>
      <c r="B164">
        <v>8</v>
      </c>
      <c r="C164">
        <v>0</v>
      </c>
      <c r="D164">
        <v>6</v>
      </c>
      <c r="E164">
        <v>0</v>
      </c>
      <c r="F164">
        <f>VLOOKUP(A164,[1]SE_SUMMIT_2032_US40!$A:$Y,23,FALSE)</f>
        <v>8</v>
      </c>
      <c r="G164">
        <f>VLOOKUP(A164,[1]SE_SUMMIT_2032_US40!$A:$Y,24,FALSE)</f>
        <v>0</v>
      </c>
      <c r="H164">
        <f>VLOOKUP(A164,[1]SE_SUMMIT_2032_US40!$A:$Y,25,FALSE)</f>
        <v>6</v>
      </c>
      <c r="I164">
        <f>VLOOKUP(A164,[1]SE_SUMMIT_2032_US40!$A:$Z,26,FALSE)</f>
        <v>0</v>
      </c>
      <c r="J164">
        <f>VLOOKUP(A164,[2]SE_SUMMIT_2042_US40!$A:$Y,23,FALSE)</f>
        <v>8</v>
      </c>
      <c r="K164">
        <f>VLOOKUP(A164,[2]SE_SUMMIT_2042_US40!$A:$Y,24,FALSE)</f>
        <v>0</v>
      </c>
      <c r="L164">
        <f>VLOOKUP(A164,[2]SE_SUMMIT_2042_US40!$A:$Y,25,FALSE)</f>
        <v>6</v>
      </c>
      <c r="M164">
        <f>VLOOKUP(A164,[2]SE_SUMMIT_2042_US40!$A:$Z,26,FALSE)</f>
        <v>0</v>
      </c>
      <c r="N164">
        <f>VLOOKUP(A164,[3]SE_SUMMIT_2050_US40_Richardson_!$A:$Y,23,FALSE)</f>
        <v>8</v>
      </c>
      <c r="O164">
        <f>VLOOKUP(A164,[3]SE_SUMMIT_2050_US40_Richardson_!$A:$Y,24,FALSE)</f>
        <v>0</v>
      </c>
      <c r="P164">
        <f>VLOOKUP(A164,[3]SE_SUMMIT_2050_US40_Richardson_!$A:$Y,25,FALSE)</f>
        <v>6</v>
      </c>
      <c r="Q164">
        <f>VLOOKUP(A164,[3]SE_SUMMIT_2050_US40_Richardson_!$A:$Z,26,FALSE)</f>
        <v>0</v>
      </c>
      <c r="R164">
        <f t="shared" si="8"/>
        <v>0</v>
      </c>
      <c r="S164">
        <f t="shared" si="9"/>
        <v>0</v>
      </c>
      <c r="T164">
        <f t="shared" si="10"/>
        <v>0</v>
      </c>
      <c r="U164">
        <f t="shared" si="11"/>
        <v>0</v>
      </c>
    </row>
    <row r="165" spans="1:21" x14ac:dyDescent="0.25">
      <c r="A165">
        <v>43164</v>
      </c>
      <c r="B165">
        <v>5</v>
      </c>
      <c r="C165">
        <v>0</v>
      </c>
      <c r="D165">
        <v>0</v>
      </c>
      <c r="E165">
        <v>0</v>
      </c>
      <c r="F165">
        <f>VLOOKUP(A165,[1]SE_SUMMIT_2032_US40!$A:$Y,23,FALSE)</f>
        <v>5</v>
      </c>
      <c r="G165">
        <f>VLOOKUP(A165,[1]SE_SUMMIT_2032_US40!$A:$Y,24,FALSE)</f>
        <v>0</v>
      </c>
      <c r="H165">
        <f>VLOOKUP(A165,[1]SE_SUMMIT_2032_US40!$A:$Y,25,FALSE)</f>
        <v>0</v>
      </c>
      <c r="I165">
        <f>VLOOKUP(A165,[1]SE_SUMMIT_2032_US40!$A:$Z,26,FALSE)</f>
        <v>0</v>
      </c>
      <c r="J165">
        <f>VLOOKUP(A165,[2]SE_SUMMIT_2042_US40!$A:$Y,23,FALSE)</f>
        <v>5</v>
      </c>
      <c r="K165">
        <f>VLOOKUP(A165,[2]SE_SUMMIT_2042_US40!$A:$Y,24,FALSE)</f>
        <v>0</v>
      </c>
      <c r="L165">
        <f>VLOOKUP(A165,[2]SE_SUMMIT_2042_US40!$A:$Y,25,FALSE)</f>
        <v>0</v>
      </c>
      <c r="M165">
        <f>VLOOKUP(A165,[2]SE_SUMMIT_2042_US40!$A:$Z,26,FALSE)</f>
        <v>0</v>
      </c>
      <c r="N165">
        <f>VLOOKUP(A165,[3]SE_SUMMIT_2050_US40_Richardson_!$A:$Y,23,FALSE)</f>
        <v>5</v>
      </c>
      <c r="O165">
        <f>VLOOKUP(A165,[3]SE_SUMMIT_2050_US40_Richardson_!$A:$Y,24,FALSE)</f>
        <v>0</v>
      </c>
      <c r="P165">
        <f>VLOOKUP(A165,[3]SE_SUMMIT_2050_US40_Richardson_!$A:$Y,25,FALSE)</f>
        <v>0</v>
      </c>
      <c r="Q165">
        <f>VLOOKUP(A165,[3]SE_SUMMIT_2050_US40_Richardson_!$A:$Z,26,FALSE)</f>
        <v>0</v>
      </c>
      <c r="R165">
        <f t="shared" si="8"/>
        <v>0</v>
      </c>
      <c r="S165">
        <f t="shared" si="9"/>
        <v>0</v>
      </c>
      <c r="T165">
        <f t="shared" si="10"/>
        <v>0</v>
      </c>
      <c r="U165">
        <f t="shared" si="11"/>
        <v>0</v>
      </c>
    </row>
    <row r="166" spans="1:21" x14ac:dyDescent="0.25">
      <c r="A166">
        <v>43165</v>
      </c>
      <c r="B166">
        <v>0</v>
      </c>
      <c r="C166">
        <v>0</v>
      </c>
      <c r="D166">
        <v>0</v>
      </c>
      <c r="E166">
        <v>0</v>
      </c>
      <c r="F166">
        <f>VLOOKUP(A166,[1]SE_SUMMIT_2032_US40!$A:$Y,23,FALSE)</f>
        <v>0</v>
      </c>
      <c r="G166">
        <f>VLOOKUP(A166,[1]SE_SUMMIT_2032_US40!$A:$Y,24,FALSE)</f>
        <v>0</v>
      </c>
      <c r="H166">
        <f>VLOOKUP(A166,[1]SE_SUMMIT_2032_US40!$A:$Y,25,FALSE)</f>
        <v>0</v>
      </c>
      <c r="I166">
        <f>VLOOKUP(A166,[1]SE_SUMMIT_2032_US40!$A:$Z,26,FALSE)</f>
        <v>0</v>
      </c>
      <c r="J166">
        <f>VLOOKUP(A166,[2]SE_SUMMIT_2042_US40!$A:$Y,23,FALSE)</f>
        <v>0</v>
      </c>
      <c r="K166">
        <f>VLOOKUP(A166,[2]SE_SUMMIT_2042_US40!$A:$Y,24,FALSE)</f>
        <v>0</v>
      </c>
      <c r="L166">
        <f>VLOOKUP(A166,[2]SE_SUMMIT_2042_US40!$A:$Y,25,FALSE)</f>
        <v>0</v>
      </c>
      <c r="M166">
        <f>VLOOKUP(A166,[2]SE_SUMMIT_2042_US40!$A:$Z,26,FALSE)</f>
        <v>0</v>
      </c>
      <c r="N166">
        <f>VLOOKUP(A166,[3]SE_SUMMIT_2050_US40_Richardson_!$A:$Y,23,FALSE)</f>
        <v>0</v>
      </c>
      <c r="O166">
        <f>VLOOKUP(A166,[3]SE_SUMMIT_2050_US40_Richardson_!$A:$Y,24,FALSE)</f>
        <v>0</v>
      </c>
      <c r="P166">
        <f>VLOOKUP(A166,[3]SE_SUMMIT_2050_US40_Richardson_!$A:$Y,25,FALSE)</f>
        <v>0</v>
      </c>
      <c r="Q166">
        <f>VLOOKUP(A166,[3]SE_SUMMIT_2050_US40_Richardson_!$A:$Z,26,FALSE)</f>
        <v>0</v>
      </c>
      <c r="R166">
        <f t="shared" si="8"/>
        <v>0</v>
      </c>
      <c r="S166">
        <f t="shared" si="9"/>
        <v>0</v>
      </c>
      <c r="T166">
        <f t="shared" si="10"/>
        <v>0</v>
      </c>
      <c r="U166">
        <f t="shared" si="11"/>
        <v>0</v>
      </c>
    </row>
    <row r="167" spans="1:21" x14ac:dyDescent="0.25">
      <c r="A167">
        <v>43166</v>
      </c>
      <c r="B167">
        <v>2</v>
      </c>
      <c r="C167">
        <v>0</v>
      </c>
      <c r="D167">
        <v>0</v>
      </c>
      <c r="E167">
        <v>0</v>
      </c>
      <c r="F167">
        <f>VLOOKUP(A167,[1]SE_SUMMIT_2032_US40!$A:$Y,23,FALSE)</f>
        <v>2</v>
      </c>
      <c r="G167">
        <f>VLOOKUP(A167,[1]SE_SUMMIT_2032_US40!$A:$Y,24,FALSE)</f>
        <v>0</v>
      </c>
      <c r="H167">
        <f>VLOOKUP(A167,[1]SE_SUMMIT_2032_US40!$A:$Y,25,FALSE)</f>
        <v>0</v>
      </c>
      <c r="I167">
        <f>VLOOKUP(A167,[1]SE_SUMMIT_2032_US40!$A:$Z,26,FALSE)</f>
        <v>0</v>
      </c>
      <c r="J167">
        <f>VLOOKUP(A167,[2]SE_SUMMIT_2042_US40!$A:$Y,23,FALSE)</f>
        <v>2</v>
      </c>
      <c r="K167">
        <f>VLOOKUP(A167,[2]SE_SUMMIT_2042_US40!$A:$Y,24,FALSE)</f>
        <v>0</v>
      </c>
      <c r="L167">
        <f>VLOOKUP(A167,[2]SE_SUMMIT_2042_US40!$A:$Y,25,FALSE)</f>
        <v>0</v>
      </c>
      <c r="M167">
        <f>VLOOKUP(A167,[2]SE_SUMMIT_2042_US40!$A:$Z,26,FALSE)</f>
        <v>0</v>
      </c>
      <c r="N167">
        <f>VLOOKUP(A167,[3]SE_SUMMIT_2050_US40_Richardson_!$A:$Y,23,FALSE)</f>
        <v>2</v>
      </c>
      <c r="O167">
        <f>VLOOKUP(A167,[3]SE_SUMMIT_2050_US40_Richardson_!$A:$Y,24,FALSE)</f>
        <v>0</v>
      </c>
      <c r="P167">
        <f>VLOOKUP(A167,[3]SE_SUMMIT_2050_US40_Richardson_!$A:$Y,25,FALSE)</f>
        <v>0</v>
      </c>
      <c r="Q167">
        <f>VLOOKUP(A167,[3]SE_SUMMIT_2050_US40_Richardson_!$A:$Z,26,FALSE)</f>
        <v>0</v>
      </c>
      <c r="R167">
        <f t="shared" si="8"/>
        <v>0</v>
      </c>
      <c r="S167">
        <f t="shared" si="9"/>
        <v>0</v>
      </c>
      <c r="T167">
        <f t="shared" si="10"/>
        <v>0</v>
      </c>
      <c r="U167">
        <f t="shared" si="11"/>
        <v>0</v>
      </c>
    </row>
    <row r="168" spans="1:21" x14ac:dyDescent="0.25">
      <c r="A168">
        <v>43167</v>
      </c>
      <c r="B168">
        <v>8</v>
      </c>
      <c r="C168">
        <v>0</v>
      </c>
      <c r="D168">
        <v>0</v>
      </c>
      <c r="E168">
        <v>0</v>
      </c>
      <c r="F168">
        <f>VLOOKUP(A168,[1]SE_SUMMIT_2032_US40!$A:$Y,23,FALSE)</f>
        <v>8</v>
      </c>
      <c r="G168">
        <f>VLOOKUP(A168,[1]SE_SUMMIT_2032_US40!$A:$Y,24,FALSE)</f>
        <v>0</v>
      </c>
      <c r="H168">
        <f>VLOOKUP(A168,[1]SE_SUMMIT_2032_US40!$A:$Y,25,FALSE)</f>
        <v>0</v>
      </c>
      <c r="I168">
        <f>VLOOKUP(A168,[1]SE_SUMMIT_2032_US40!$A:$Z,26,FALSE)</f>
        <v>0</v>
      </c>
      <c r="J168">
        <f>VLOOKUP(A168,[2]SE_SUMMIT_2042_US40!$A:$Y,23,FALSE)</f>
        <v>8</v>
      </c>
      <c r="K168">
        <f>VLOOKUP(A168,[2]SE_SUMMIT_2042_US40!$A:$Y,24,FALSE)</f>
        <v>0</v>
      </c>
      <c r="L168">
        <f>VLOOKUP(A168,[2]SE_SUMMIT_2042_US40!$A:$Y,25,FALSE)</f>
        <v>0</v>
      </c>
      <c r="M168">
        <f>VLOOKUP(A168,[2]SE_SUMMIT_2042_US40!$A:$Z,26,FALSE)</f>
        <v>0</v>
      </c>
      <c r="N168">
        <f>VLOOKUP(A168,[3]SE_SUMMIT_2050_US40_Richardson_!$A:$Y,23,FALSE)</f>
        <v>8</v>
      </c>
      <c r="O168">
        <f>VLOOKUP(A168,[3]SE_SUMMIT_2050_US40_Richardson_!$A:$Y,24,FALSE)</f>
        <v>0</v>
      </c>
      <c r="P168">
        <f>VLOOKUP(A168,[3]SE_SUMMIT_2050_US40_Richardson_!$A:$Y,25,FALSE)</f>
        <v>0</v>
      </c>
      <c r="Q168">
        <f>VLOOKUP(A168,[3]SE_SUMMIT_2050_US40_Richardson_!$A:$Z,26,FALSE)</f>
        <v>0</v>
      </c>
      <c r="R168">
        <f t="shared" si="8"/>
        <v>0</v>
      </c>
      <c r="S168">
        <f t="shared" si="9"/>
        <v>0</v>
      </c>
      <c r="T168">
        <f t="shared" si="10"/>
        <v>0</v>
      </c>
      <c r="U168">
        <f t="shared" si="11"/>
        <v>0</v>
      </c>
    </row>
    <row r="169" spans="1:21" x14ac:dyDescent="0.25">
      <c r="A169">
        <v>43168</v>
      </c>
      <c r="B169">
        <v>18</v>
      </c>
      <c r="C169">
        <v>0</v>
      </c>
      <c r="D169">
        <v>0</v>
      </c>
      <c r="E169">
        <v>0</v>
      </c>
      <c r="F169">
        <f>VLOOKUP(A169,[1]SE_SUMMIT_2032_US40!$A:$Y,23,FALSE)</f>
        <v>18</v>
      </c>
      <c r="G169">
        <f>VLOOKUP(A169,[1]SE_SUMMIT_2032_US40!$A:$Y,24,FALSE)</f>
        <v>0</v>
      </c>
      <c r="H169">
        <f>VLOOKUP(A169,[1]SE_SUMMIT_2032_US40!$A:$Y,25,FALSE)</f>
        <v>0</v>
      </c>
      <c r="I169">
        <f>VLOOKUP(A169,[1]SE_SUMMIT_2032_US40!$A:$Z,26,FALSE)</f>
        <v>0</v>
      </c>
      <c r="J169">
        <f>VLOOKUP(A169,[2]SE_SUMMIT_2042_US40!$A:$Y,23,FALSE)</f>
        <v>18</v>
      </c>
      <c r="K169">
        <f>VLOOKUP(A169,[2]SE_SUMMIT_2042_US40!$A:$Y,24,FALSE)</f>
        <v>0</v>
      </c>
      <c r="L169">
        <f>VLOOKUP(A169,[2]SE_SUMMIT_2042_US40!$A:$Y,25,FALSE)</f>
        <v>0</v>
      </c>
      <c r="M169">
        <f>VLOOKUP(A169,[2]SE_SUMMIT_2042_US40!$A:$Z,26,FALSE)</f>
        <v>0</v>
      </c>
      <c r="N169">
        <f>VLOOKUP(A169,[3]SE_SUMMIT_2050_US40_Richardson_!$A:$Y,23,FALSE)</f>
        <v>18</v>
      </c>
      <c r="O169">
        <f>VLOOKUP(A169,[3]SE_SUMMIT_2050_US40_Richardson_!$A:$Y,24,FALSE)</f>
        <v>0</v>
      </c>
      <c r="P169">
        <f>VLOOKUP(A169,[3]SE_SUMMIT_2050_US40_Richardson_!$A:$Y,25,FALSE)</f>
        <v>0</v>
      </c>
      <c r="Q169">
        <f>VLOOKUP(A169,[3]SE_SUMMIT_2050_US40_Richardson_!$A:$Z,26,FALSE)</f>
        <v>0</v>
      </c>
      <c r="R169">
        <f t="shared" si="8"/>
        <v>0</v>
      </c>
      <c r="S169">
        <f t="shared" si="9"/>
        <v>0</v>
      </c>
      <c r="T169">
        <f t="shared" si="10"/>
        <v>0</v>
      </c>
      <c r="U169">
        <f t="shared" si="11"/>
        <v>0</v>
      </c>
    </row>
    <row r="170" spans="1:21" x14ac:dyDescent="0.25">
      <c r="A170">
        <v>43169</v>
      </c>
      <c r="B170">
        <v>5</v>
      </c>
      <c r="C170">
        <v>0</v>
      </c>
      <c r="D170">
        <v>0</v>
      </c>
      <c r="E170">
        <v>0</v>
      </c>
      <c r="F170">
        <f>VLOOKUP(A170,[1]SE_SUMMIT_2032_US40!$A:$Y,23,FALSE)</f>
        <v>5</v>
      </c>
      <c r="G170">
        <f>VLOOKUP(A170,[1]SE_SUMMIT_2032_US40!$A:$Y,24,FALSE)</f>
        <v>0</v>
      </c>
      <c r="H170">
        <f>VLOOKUP(A170,[1]SE_SUMMIT_2032_US40!$A:$Y,25,FALSE)</f>
        <v>0</v>
      </c>
      <c r="I170">
        <f>VLOOKUP(A170,[1]SE_SUMMIT_2032_US40!$A:$Z,26,FALSE)</f>
        <v>0</v>
      </c>
      <c r="J170">
        <f>VLOOKUP(A170,[2]SE_SUMMIT_2042_US40!$A:$Y,23,FALSE)</f>
        <v>5</v>
      </c>
      <c r="K170">
        <f>VLOOKUP(A170,[2]SE_SUMMIT_2042_US40!$A:$Y,24,FALSE)</f>
        <v>0</v>
      </c>
      <c r="L170">
        <f>VLOOKUP(A170,[2]SE_SUMMIT_2042_US40!$A:$Y,25,FALSE)</f>
        <v>0</v>
      </c>
      <c r="M170">
        <f>VLOOKUP(A170,[2]SE_SUMMIT_2042_US40!$A:$Z,26,FALSE)</f>
        <v>0</v>
      </c>
      <c r="N170">
        <f>VLOOKUP(A170,[3]SE_SUMMIT_2050_US40_Richardson_!$A:$Y,23,FALSE)</f>
        <v>5</v>
      </c>
      <c r="O170">
        <f>VLOOKUP(A170,[3]SE_SUMMIT_2050_US40_Richardson_!$A:$Y,24,FALSE)</f>
        <v>0</v>
      </c>
      <c r="P170">
        <f>VLOOKUP(A170,[3]SE_SUMMIT_2050_US40_Richardson_!$A:$Y,25,FALSE)</f>
        <v>0</v>
      </c>
      <c r="Q170">
        <f>VLOOKUP(A170,[3]SE_SUMMIT_2050_US40_Richardson_!$A:$Z,26,FALSE)</f>
        <v>0</v>
      </c>
      <c r="R170">
        <f t="shared" si="8"/>
        <v>0</v>
      </c>
      <c r="S170">
        <f t="shared" si="9"/>
        <v>0</v>
      </c>
      <c r="T170">
        <f t="shared" si="10"/>
        <v>0</v>
      </c>
      <c r="U170">
        <f t="shared" si="11"/>
        <v>0</v>
      </c>
    </row>
    <row r="171" spans="1:21" x14ac:dyDescent="0.25">
      <c r="A171">
        <v>43170</v>
      </c>
      <c r="B171">
        <v>1</v>
      </c>
      <c r="C171">
        <v>0</v>
      </c>
      <c r="D171">
        <v>0</v>
      </c>
      <c r="E171">
        <v>0</v>
      </c>
      <c r="F171">
        <f>VLOOKUP(A171,[1]SE_SUMMIT_2032_US40!$A:$Y,23,FALSE)</f>
        <v>1</v>
      </c>
      <c r="G171">
        <f>VLOOKUP(A171,[1]SE_SUMMIT_2032_US40!$A:$Y,24,FALSE)</f>
        <v>0</v>
      </c>
      <c r="H171">
        <f>VLOOKUP(A171,[1]SE_SUMMIT_2032_US40!$A:$Y,25,FALSE)</f>
        <v>0</v>
      </c>
      <c r="I171">
        <f>VLOOKUP(A171,[1]SE_SUMMIT_2032_US40!$A:$Z,26,FALSE)</f>
        <v>0</v>
      </c>
      <c r="J171">
        <f>VLOOKUP(A171,[2]SE_SUMMIT_2042_US40!$A:$Y,23,FALSE)</f>
        <v>1</v>
      </c>
      <c r="K171">
        <f>VLOOKUP(A171,[2]SE_SUMMIT_2042_US40!$A:$Y,24,FALSE)</f>
        <v>0</v>
      </c>
      <c r="L171">
        <f>VLOOKUP(A171,[2]SE_SUMMIT_2042_US40!$A:$Y,25,FALSE)</f>
        <v>0</v>
      </c>
      <c r="M171">
        <f>VLOOKUP(A171,[2]SE_SUMMIT_2042_US40!$A:$Z,26,FALSE)</f>
        <v>0</v>
      </c>
      <c r="N171">
        <f>VLOOKUP(A171,[3]SE_SUMMIT_2050_US40_Richardson_!$A:$Y,23,FALSE)</f>
        <v>1</v>
      </c>
      <c r="O171">
        <f>VLOOKUP(A171,[3]SE_SUMMIT_2050_US40_Richardson_!$A:$Y,24,FALSE)</f>
        <v>0</v>
      </c>
      <c r="P171">
        <f>VLOOKUP(A171,[3]SE_SUMMIT_2050_US40_Richardson_!$A:$Y,25,FALSE)</f>
        <v>0</v>
      </c>
      <c r="Q171">
        <f>VLOOKUP(A171,[3]SE_SUMMIT_2050_US40_Richardson_!$A:$Z,26,FALSE)</f>
        <v>0</v>
      </c>
      <c r="R171">
        <f t="shared" si="8"/>
        <v>0</v>
      </c>
      <c r="S171">
        <f t="shared" si="9"/>
        <v>0</v>
      </c>
      <c r="T171">
        <f t="shared" si="10"/>
        <v>0</v>
      </c>
      <c r="U171">
        <f t="shared" si="11"/>
        <v>0</v>
      </c>
    </row>
    <row r="172" spans="1:21" x14ac:dyDescent="0.25">
      <c r="A172">
        <v>43171</v>
      </c>
      <c r="B172">
        <v>2</v>
      </c>
      <c r="C172">
        <v>0</v>
      </c>
      <c r="D172">
        <v>0</v>
      </c>
      <c r="E172">
        <v>0</v>
      </c>
      <c r="F172">
        <f>VLOOKUP(A172,[1]SE_SUMMIT_2032_US40!$A:$Y,23,FALSE)</f>
        <v>2</v>
      </c>
      <c r="G172">
        <f>VLOOKUP(A172,[1]SE_SUMMIT_2032_US40!$A:$Y,24,FALSE)</f>
        <v>0</v>
      </c>
      <c r="H172">
        <f>VLOOKUP(A172,[1]SE_SUMMIT_2032_US40!$A:$Y,25,FALSE)</f>
        <v>0</v>
      </c>
      <c r="I172">
        <f>VLOOKUP(A172,[1]SE_SUMMIT_2032_US40!$A:$Z,26,FALSE)</f>
        <v>0</v>
      </c>
      <c r="J172">
        <f>VLOOKUP(A172,[2]SE_SUMMIT_2042_US40!$A:$Y,23,FALSE)</f>
        <v>2</v>
      </c>
      <c r="K172">
        <f>VLOOKUP(A172,[2]SE_SUMMIT_2042_US40!$A:$Y,24,FALSE)</f>
        <v>0</v>
      </c>
      <c r="L172">
        <f>VLOOKUP(A172,[2]SE_SUMMIT_2042_US40!$A:$Y,25,FALSE)</f>
        <v>0</v>
      </c>
      <c r="M172">
        <f>VLOOKUP(A172,[2]SE_SUMMIT_2042_US40!$A:$Z,26,FALSE)</f>
        <v>0</v>
      </c>
      <c r="N172">
        <f>VLOOKUP(A172,[3]SE_SUMMIT_2050_US40_Richardson_!$A:$Y,23,FALSE)</f>
        <v>2</v>
      </c>
      <c r="O172">
        <f>VLOOKUP(A172,[3]SE_SUMMIT_2050_US40_Richardson_!$A:$Y,24,FALSE)</f>
        <v>0</v>
      </c>
      <c r="P172">
        <f>VLOOKUP(A172,[3]SE_SUMMIT_2050_US40_Richardson_!$A:$Y,25,FALSE)</f>
        <v>0</v>
      </c>
      <c r="Q172">
        <f>VLOOKUP(A172,[3]SE_SUMMIT_2050_US40_Richardson_!$A:$Z,26,FALSE)</f>
        <v>0</v>
      </c>
      <c r="R172">
        <f t="shared" si="8"/>
        <v>0</v>
      </c>
      <c r="S172">
        <f t="shared" si="9"/>
        <v>0</v>
      </c>
      <c r="T172">
        <f t="shared" si="10"/>
        <v>0</v>
      </c>
      <c r="U172">
        <f t="shared" si="11"/>
        <v>0</v>
      </c>
    </row>
    <row r="173" spans="1:21" x14ac:dyDescent="0.25">
      <c r="A173">
        <v>43172</v>
      </c>
      <c r="B173">
        <v>40</v>
      </c>
      <c r="C173">
        <v>0</v>
      </c>
      <c r="D173">
        <v>0</v>
      </c>
      <c r="E173">
        <v>0</v>
      </c>
      <c r="F173">
        <f>VLOOKUP(A173,[1]SE_SUMMIT_2032_US40!$A:$Y,23,FALSE)</f>
        <v>40</v>
      </c>
      <c r="G173">
        <f>VLOOKUP(A173,[1]SE_SUMMIT_2032_US40!$A:$Y,24,FALSE)</f>
        <v>0</v>
      </c>
      <c r="H173">
        <f>VLOOKUP(A173,[1]SE_SUMMIT_2032_US40!$A:$Y,25,FALSE)</f>
        <v>0</v>
      </c>
      <c r="I173">
        <f>VLOOKUP(A173,[1]SE_SUMMIT_2032_US40!$A:$Z,26,FALSE)</f>
        <v>0</v>
      </c>
      <c r="J173">
        <f>VLOOKUP(A173,[2]SE_SUMMIT_2042_US40!$A:$Y,23,FALSE)</f>
        <v>40</v>
      </c>
      <c r="K173">
        <f>VLOOKUP(A173,[2]SE_SUMMIT_2042_US40!$A:$Y,24,FALSE)</f>
        <v>0</v>
      </c>
      <c r="L173">
        <f>VLOOKUP(A173,[2]SE_SUMMIT_2042_US40!$A:$Y,25,FALSE)</f>
        <v>0</v>
      </c>
      <c r="M173">
        <f>VLOOKUP(A173,[2]SE_SUMMIT_2042_US40!$A:$Z,26,FALSE)</f>
        <v>0</v>
      </c>
      <c r="N173">
        <f>VLOOKUP(A173,[3]SE_SUMMIT_2050_US40_Richardson_!$A:$Y,23,FALSE)</f>
        <v>40</v>
      </c>
      <c r="O173">
        <f>VLOOKUP(A173,[3]SE_SUMMIT_2050_US40_Richardson_!$A:$Y,24,FALSE)</f>
        <v>0</v>
      </c>
      <c r="P173">
        <f>VLOOKUP(A173,[3]SE_SUMMIT_2050_US40_Richardson_!$A:$Y,25,FALSE)</f>
        <v>0</v>
      </c>
      <c r="Q173">
        <f>VLOOKUP(A173,[3]SE_SUMMIT_2050_US40_Richardson_!$A:$Z,26,FALSE)</f>
        <v>0</v>
      </c>
      <c r="R173">
        <f t="shared" si="8"/>
        <v>0</v>
      </c>
      <c r="S173">
        <f t="shared" si="9"/>
        <v>0</v>
      </c>
      <c r="T173">
        <f t="shared" si="10"/>
        <v>0</v>
      </c>
      <c r="U173">
        <f t="shared" si="11"/>
        <v>0</v>
      </c>
    </row>
    <row r="174" spans="1:21" x14ac:dyDescent="0.25">
      <c r="A174">
        <v>43173</v>
      </c>
      <c r="B174">
        <v>1</v>
      </c>
      <c r="C174">
        <v>0</v>
      </c>
      <c r="D174">
        <v>0</v>
      </c>
      <c r="E174">
        <v>0</v>
      </c>
      <c r="F174">
        <f>VLOOKUP(A174,[1]SE_SUMMIT_2032_US40!$A:$Y,23,FALSE)</f>
        <v>1</v>
      </c>
      <c r="G174">
        <f>VLOOKUP(A174,[1]SE_SUMMIT_2032_US40!$A:$Y,24,FALSE)</f>
        <v>0</v>
      </c>
      <c r="H174">
        <f>VLOOKUP(A174,[1]SE_SUMMIT_2032_US40!$A:$Y,25,FALSE)</f>
        <v>0</v>
      </c>
      <c r="I174">
        <f>VLOOKUP(A174,[1]SE_SUMMIT_2032_US40!$A:$Z,26,FALSE)</f>
        <v>0</v>
      </c>
      <c r="J174">
        <f>VLOOKUP(A174,[2]SE_SUMMIT_2042_US40!$A:$Y,23,FALSE)</f>
        <v>1</v>
      </c>
      <c r="K174">
        <f>VLOOKUP(A174,[2]SE_SUMMIT_2042_US40!$A:$Y,24,FALSE)</f>
        <v>0</v>
      </c>
      <c r="L174">
        <f>VLOOKUP(A174,[2]SE_SUMMIT_2042_US40!$A:$Y,25,FALSE)</f>
        <v>0</v>
      </c>
      <c r="M174">
        <f>VLOOKUP(A174,[2]SE_SUMMIT_2042_US40!$A:$Z,26,FALSE)</f>
        <v>0</v>
      </c>
      <c r="N174">
        <f>VLOOKUP(A174,[3]SE_SUMMIT_2050_US40_Richardson_!$A:$Y,23,FALSE)</f>
        <v>1</v>
      </c>
      <c r="O174">
        <f>VLOOKUP(A174,[3]SE_SUMMIT_2050_US40_Richardson_!$A:$Y,24,FALSE)</f>
        <v>0</v>
      </c>
      <c r="P174">
        <f>VLOOKUP(A174,[3]SE_SUMMIT_2050_US40_Richardson_!$A:$Y,25,FALSE)</f>
        <v>0</v>
      </c>
      <c r="Q174">
        <f>VLOOKUP(A174,[3]SE_SUMMIT_2050_US40_Richardson_!$A:$Z,26,FALSE)</f>
        <v>0</v>
      </c>
      <c r="R174">
        <f t="shared" si="8"/>
        <v>0</v>
      </c>
      <c r="S174">
        <f t="shared" si="9"/>
        <v>0</v>
      </c>
      <c r="T174">
        <f t="shared" si="10"/>
        <v>0</v>
      </c>
      <c r="U174">
        <f t="shared" si="11"/>
        <v>0</v>
      </c>
    </row>
    <row r="175" spans="1:21" x14ac:dyDescent="0.25">
      <c r="A175">
        <v>43174</v>
      </c>
      <c r="B175">
        <v>10</v>
      </c>
      <c r="C175">
        <v>0</v>
      </c>
      <c r="D175">
        <v>0</v>
      </c>
      <c r="E175">
        <v>0</v>
      </c>
      <c r="F175">
        <f>VLOOKUP(A175,[1]SE_SUMMIT_2032_US40!$A:$Y,23,FALSE)</f>
        <v>10</v>
      </c>
      <c r="G175">
        <f>VLOOKUP(A175,[1]SE_SUMMIT_2032_US40!$A:$Y,24,FALSE)</f>
        <v>0</v>
      </c>
      <c r="H175">
        <f>VLOOKUP(A175,[1]SE_SUMMIT_2032_US40!$A:$Y,25,FALSE)</f>
        <v>0</v>
      </c>
      <c r="I175">
        <f>VLOOKUP(A175,[1]SE_SUMMIT_2032_US40!$A:$Z,26,FALSE)</f>
        <v>0</v>
      </c>
      <c r="J175">
        <f>VLOOKUP(A175,[2]SE_SUMMIT_2042_US40!$A:$Y,23,FALSE)</f>
        <v>10</v>
      </c>
      <c r="K175">
        <f>VLOOKUP(A175,[2]SE_SUMMIT_2042_US40!$A:$Y,24,FALSE)</f>
        <v>0</v>
      </c>
      <c r="L175">
        <f>VLOOKUP(A175,[2]SE_SUMMIT_2042_US40!$A:$Y,25,FALSE)</f>
        <v>0</v>
      </c>
      <c r="M175">
        <f>VLOOKUP(A175,[2]SE_SUMMIT_2042_US40!$A:$Z,26,FALSE)</f>
        <v>0</v>
      </c>
      <c r="N175">
        <f>VLOOKUP(A175,[3]SE_SUMMIT_2050_US40_Richardson_!$A:$Y,23,FALSE)</f>
        <v>10</v>
      </c>
      <c r="O175">
        <f>VLOOKUP(A175,[3]SE_SUMMIT_2050_US40_Richardson_!$A:$Y,24,FALSE)</f>
        <v>0</v>
      </c>
      <c r="P175">
        <f>VLOOKUP(A175,[3]SE_SUMMIT_2050_US40_Richardson_!$A:$Y,25,FALSE)</f>
        <v>0</v>
      </c>
      <c r="Q175">
        <f>VLOOKUP(A175,[3]SE_SUMMIT_2050_US40_Richardson_!$A:$Z,26,FALSE)</f>
        <v>0</v>
      </c>
      <c r="R175">
        <f t="shared" si="8"/>
        <v>0</v>
      </c>
      <c r="S175">
        <f t="shared" si="9"/>
        <v>0</v>
      </c>
      <c r="T175">
        <f t="shared" si="10"/>
        <v>0</v>
      </c>
      <c r="U175">
        <f t="shared" si="11"/>
        <v>0</v>
      </c>
    </row>
    <row r="176" spans="1:21" x14ac:dyDescent="0.25">
      <c r="A176">
        <v>43175</v>
      </c>
      <c r="B176">
        <v>0</v>
      </c>
      <c r="C176">
        <v>0</v>
      </c>
      <c r="D176">
        <v>0</v>
      </c>
      <c r="E176">
        <v>0</v>
      </c>
      <c r="F176">
        <f>VLOOKUP(A176,[1]SE_SUMMIT_2032_US40!$A:$Y,23,FALSE)</f>
        <v>0</v>
      </c>
      <c r="G176">
        <f>VLOOKUP(A176,[1]SE_SUMMIT_2032_US40!$A:$Y,24,FALSE)</f>
        <v>0</v>
      </c>
      <c r="H176">
        <f>VLOOKUP(A176,[1]SE_SUMMIT_2032_US40!$A:$Y,25,FALSE)</f>
        <v>0</v>
      </c>
      <c r="I176">
        <f>VLOOKUP(A176,[1]SE_SUMMIT_2032_US40!$A:$Z,26,FALSE)</f>
        <v>0</v>
      </c>
      <c r="J176">
        <f>VLOOKUP(A176,[2]SE_SUMMIT_2042_US40!$A:$Y,23,FALSE)</f>
        <v>0</v>
      </c>
      <c r="K176">
        <f>VLOOKUP(A176,[2]SE_SUMMIT_2042_US40!$A:$Y,24,FALSE)</f>
        <v>0</v>
      </c>
      <c r="L176">
        <f>VLOOKUP(A176,[2]SE_SUMMIT_2042_US40!$A:$Y,25,FALSE)</f>
        <v>0</v>
      </c>
      <c r="M176">
        <f>VLOOKUP(A176,[2]SE_SUMMIT_2042_US40!$A:$Z,26,FALSE)</f>
        <v>0</v>
      </c>
      <c r="N176">
        <f>VLOOKUP(A176,[3]SE_SUMMIT_2050_US40_Richardson_!$A:$Y,23,FALSE)</f>
        <v>0</v>
      </c>
      <c r="O176">
        <f>VLOOKUP(A176,[3]SE_SUMMIT_2050_US40_Richardson_!$A:$Y,24,FALSE)</f>
        <v>0</v>
      </c>
      <c r="P176">
        <f>VLOOKUP(A176,[3]SE_SUMMIT_2050_US40_Richardson_!$A:$Y,25,FALSE)</f>
        <v>0</v>
      </c>
      <c r="Q176">
        <f>VLOOKUP(A176,[3]SE_SUMMIT_2050_US40_Richardson_!$A:$Z,26,FALSE)</f>
        <v>0</v>
      </c>
      <c r="R176">
        <f t="shared" si="8"/>
        <v>0</v>
      </c>
      <c r="S176">
        <f t="shared" si="9"/>
        <v>0</v>
      </c>
      <c r="T176">
        <f t="shared" si="10"/>
        <v>0</v>
      </c>
      <c r="U176">
        <f t="shared" si="11"/>
        <v>0</v>
      </c>
    </row>
    <row r="177" spans="1:21" x14ac:dyDescent="0.25">
      <c r="A177">
        <v>43176</v>
      </c>
      <c r="B177">
        <v>1</v>
      </c>
      <c r="C177">
        <v>0</v>
      </c>
      <c r="D177">
        <v>0</v>
      </c>
      <c r="E177">
        <v>0</v>
      </c>
      <c r="F177">
        <f>VLOOKUP(A177,[1]SE_SUMMIT_2032_US40!$A:$Y,23,FALSE)</f>
        <v>1</v>
      </c>
      <c r="G177">
        <f>VLOOKUP(A177,[1]SE_SUMMIT_2032_US40!$A:$Y,24,FALSE)</f>
        <v>0</v>
      </c>
      <c r="H177">
        <f>VLOOKUP(A177,[1]SE_SUMMIT_2032_US40!$A:$Y,25,FALSE)</f>
        <v>0</v>
      </c>
      <c r="I177">
        <f>VLOOKUP(A177,[1]SE_SUMMIT_2032_US40!$A:$Z,26,FALSE)</f>
        <v>0</v>
      </c>
      <c r="J177">
        <f>VLOOKUP(A177,[2]SE_SUMMIT_2042_US40!$A:$Y,23,FALSE)</f>
        <v>1</v>
      </c>
      <c r="K177">
        <f>VLOOKUP(A177,[2]SE_SUMMIT_2042_US40!$A:$Y,24,FALSE)</f>
        <v>0</v>
      </c>
      <c r="L177">
        <f>VLOOKUP(A177,[2]SE_SUMMIT_2042_US40!$A:$Y,25,FALSE)</f>
        <v>0</v>
      </c>
      <c r="M177">
        <f>VLOOKUP(A177,[2]SE_SUMMIT_2042_US40!$A:$Z,26,FALSE)</f>
        <v>0</v>
      </c>
      <c r="N177">
        <f>VLOOKUP(A177,[3]SE_SUMMIT_2050_US40_Richardson_!$A:$Y,23,FALSE)</f>
        <v>1</v>
      </c>
      <c r="O177">
        <f>VLOOKUP(A177,[3]SE_SUMMIT_2050_US40_Richardson_!$A:$Y,24,FALSE)</f>
        <v>0</v>
      </c>
      <c r="P177">
        <f>VLOOKUP(A177,[3]SE_SUMMIT_2050_US40_Richardson_!$A:$Y,25,FALSE)</f>
        <v>0</v>
      </c>
      <c r="Q177">
        <f>VLOOKUP(A177,[3]SE_SUMMIT_2050_US40_Richardson_!$A:$Z,26,FALSE)</f>
        <v>0</v>
      </c>
      <c r="R177">
        <f t="shared" si="8"/>
        <v>0</v>
      </c>
      <c r="S177">
        <f t="shared" si="9"/>
        <v>0</v>
      </c>
      <c r="T177">
        <f t="shared" si="10"/>
        <v>0</v>
      </c>
      <c r="U177">
        <f t="shared" si="11"/>
        <v>0</v>
      </c>
    </row>
    <row r="178" spans="1:21" x14ac:dyDescent="0.25">
      <c r="A178">
        <v>43177</v>
      </c>
      <c r="B178">
        <v>0</v>
      </c>
      <c r="C178">
        <v>0</v>
      </c>
      <c r="D178">
        <v>0</v>
      </c>
      <c r="E178">
        <v>0</v>
      </c>
      <c r="F178">
        <f>VLOOKUP(A178,[1]SE_SUMMIT_2032_US40!$A:$Y,23,FALSE)</f>
        <v>0</v>
      </c>
      <c r="G178">
        <f>VLOOKUP(A178,[1]SE_SUMMIT_2032_US40!$A:$Y,24,FALSE)</f>
        <v>0</v>
      </c>
      <c r="H178">
        <f>VLOOKUP(A178,[1]SE_SUMMIT_2032_US40!$A:$Y,25,FALSE)</f>
        <v>0</v>
      </c>
      <c r="I178">
        <f>VLOOKUP(A178,[1]SE_SUMMIT_2032_US40!$A:$Z,26,FALSE)</f>
        <v>0</v>
      </c>
      <c r="J178">
        <f>VLOOKUP(A178,[2]SE_SUMMIT_2042_US40!$A:$Y,23,FALSE)</f>
        <v>0</v>
      </c>
      <c r="K178">
        <f>VLOOKUP(A178,[2]SE_SUMMIT_2042_US40!$A:$Y,24,FALSE)</f>
        <v>0</v>
      </c>
      <c r="L178">
        <f>VLOOKUP(A178,[2]SE_SUMMIT_2042_US40!$A:$Y,25,FALSE)</f>
        <v>0</v>
      </c>
      <c r="M178">
        <f>VLOOKUP(A178,[2]SE_SUMMIT_2042_US40!$A:$Z,26,FALSE)</f>
        <v>0</v>
      </c>
      <c r="N178">
        <f>VLOOKUP(A178,[3]SE_SUMMIT_2050_US40_Richardson_!$A:$Y,23,FALSE)</f>
        <v>0</v>
      </c>
      <c r="O178">
        <f>VLOOKUP(A178,[3]SE_SUMMIT_2050_US40_Richardson_!$A:$Y,24,FALSE)</f>
        <v>0</v>
      </c>
      <c r="P178">
        <f>VLOOKUP(A178,[3]SE_SUMMIT_2050_US40_Richardson_!$A:$Y,25,FALSE)</f>
        <v>0</v>
      </c>
      <c r="Q178">
        <f>VLOOKUP(A178,[3]SE_SUMMIT_2050_US40_Richardson_!$A:$Z,26,FALSE)</f>
        <v>0</v>
      </c>
      <c r="R178">
        <f t="shared" si="8"/>
        <v>0</v>
      </c>
      <c r="S178">
        <f t="shared" si="9"/>
        <v>0</v>
      </c>
      <c r="T178">
        <f t="shared" si="10"/>
        <v>0</v>
      </c>
      <c r="U178">
        <f t="shared" si="11"/>
        <v>0</v>
      </c>
    </row>
    <row r="179" spans="1:21" x14ac:dyDescent="0.25">
      <c r="A179">
        <v>43178</v>
      </c>
      <c r="B179">
        <v>1</v>
      </c>
      <c r="C179">
        <v>0</v>
      </c>
      <c r="D179">
        <v>0</v>
      </c>
      <c r="E179">
        <v>0</v>
      </c>
      <c r="F179">
        <f>VLOOKUP(A179,[1]SE_SUMMIT_2032_US40!$A:$Y,23,FALSE)</f>
        <v>1</v>
      </c>
      <c r="G179">
        <f>VLOOKUP(A179,[1]SE_SUMMIT_2032_US40!$A:$Y,24,FALSE)</f>
        <v>0</v>
      </c>
      <c r="H179">
        <f>VLOOKUP(A179,[1]SE_SUMMIT_2032_US40!$A:$Y,25,FALSE)</f>
        <v>0</v>
      </c>
      <c r="I179">
        <f>VLOOKUP(A179,[1]SE_SUMMIT_2032_US40!$A:$Z,26,FALSE)</f>
        <v>0</v>
      </c>
      <c r="J179">
        <f>VLOOKUP(A179,[2]SE_SUMMIT_2042_US40!$A:$Y,23,FALSE)</f>
        <v>1</v>
      </c>
      <c r="K179">
        <f>VLOOKUP(A179,[2]SE_SUMMIT_2042_US40!$A:$Y,24,FALSE)</f>
        <v>0</v>
      </c>
      <c r="L179">
        <f>VLOOKUP(A179,[2]SE_SUMMIT_2042_US40!$A:$Y,25,FALSE)</f>
        <v>0</v>
      </c>
      <c r="M179">
        <f>VLOOKUP(A179,[2]SE_SUMMIT_2042_US40!$A:$Z,26,FALSE)</f>
        <v>0</v>
      </c>
      <c r="N179">
        <f>VLOOKUP(A179,[3]SE_SUMMIT_2050_US40_Richardson_!$A:$Y,23,FALSE)</f>
        <v>1</v>
      </c>
      <c r="O179">
        <f>VLOOKUP(A179,[3]SE_SUMMIT_2050_US40_Richardson_!$A:$Y,24,FALSE)</f>
        <v>0</v>
      </c>
      <c r="P179">
        <f>VLOOKUP(A179,[3]SE_SUMMIT_2050_US40_Richardson_!$A:$Y,25,FALSE)</f>
        <v>0</v>
      </c>
      <c r="Q179">
        <f>VLOOKUP(A179,[3]SE_SUMMIT_2050_US40_Richardson_!$A:$Z,26,FALSE)</f>
        <v>0</v>
      </c>
      <c r="R179">
        <f t="shared" si="8"/>
        <v>0</v>
      </c>
      <c r="S179">
        <f t="shared" si="9"/>
        <v>0</v>
      </c>
      <c r="T179">
        <f t="shared" si="10"/>
        <v>0</v>
      </c>
      <c r="U179">
        <f t="shared" si="11"/>
        <v>0</v>
      </c>
    </row>
    <row r="180" spans="1:21" x14ac:dyDescent="0.25">
      <c r="A180">
        <v>43179</v>
      </c>
      <c r="B180">
        <v>30</v>
      </c>
      <c r="C180">
        <v>113</v>
      </c>
      <c r="D180">
        <v>0</v>
      </c>
      <c r="E180">
        <v>0</v>
      </c>
      <c r="F180">
        <f>VLOOKUP(A180,[1]SE_SUMMIT_2032_US40!$A:$Y,23,FALSE)</f>
        <v>30</v>
      </c>
      <c r="G180">
        <f>VLOOKUP(A180,[1]SE_SUMMIT_2032_US40!$A:$Y,24,FALSE)</f>
        <v>113</v>
      </c>
      <c r="H180">
        <f>VLOOKUP(A180,[1]SE_SUMMIT_2032_US40!$A:$Y,25,FALSE)</f>
        <v>0</v>
      </c>
      <c r="I180">
        <f>VLOOKUP(A180,[1]SE_SUMMIT_2032_US40!$A:$Z,26,FALSE)</f>
        <v>0</v>
      </c>
      <c r="J180">
        <f>VLOOKUP(A180,[2]SE_SUMMIT_2042_US40!$A:$Y,23,FALSE)</f>
        <v>30</v>
      </c>
      <c r="K180">
        <f>VLOOKUP(A180,[2]SE_SUMMIT_2042_US40!$A:$Y,24,FALSE)</f>
        <v>113</v>
      </c>
      <c r="L180">
        <f>VLOOKUP(A180,[2]SE_SUMMIT_2042_US40!$A:$Y,25,FALSE)</f>
        <v>0</v>
      </c>
      <c r="M180">
        <f>VLOOKUP(A180,[2]SE_SUMMIT_2042_US40!$A:$Z,26,FALSE)</f>
        <v>0</v>
      </c>
      <c r="N180">
        <f>VLOOKUP(A180,[3]SE_SUMMIT_2050_US40_Richardson_!$A:$Y,23,FALSE)</f>
        <v>30</v>
      </c>
      <c r="O180">
        <f>VLOOKUP(A180,[3]SE_SUMMIT_2050_US40_Richardson_!$A:$Y,24,FALSE)</f>
        <v>113</v>
      </c>
      <c r="P180">
        <f>VLOOKUP(A180,[3]SE_SUMMIT_2050_US40_Richardson_!$A:$Y,25,FALSE)</f>
        <v>0</v>
      </c>
      <c r="Q180">
        <f>VLOOKUP(A180,[3]SE_SUMMIT_2050_US40_Richardson_!$A:$Z,26,FALSE)</f>
        <v>0</v>
      </c>
      <c r="R180">
        <f t="shared" si="8"/>
        <v>0</v>
      </c>
      <c r="S180">
        <f t="shared" si="9"/>
        <v>0</v>
      </c>
      <c r="T180">
        <f t="shared" si="10"/>
        <v>0</v>
      </c>
      <c r="U180">
        <f t="shared" si="11"/>
        <v>0</v>
      </c>
    </row>
    <row r="181" spans="1:21" x14ac:dyDescent="0.25">
      <c r="A181">
        <v>43180</v>
      </c>
      <c r="B181">
        <v>67</v>
      </c>
      <c r="C181">
        <v>0</v>
      </c>
      <c r="D181">
        <v>0</v>
      </c>
      <c r="E181">
        <v>0</v>
      </c>
      <c r="F181">
        <f>VLOOKUP(A181,[1]SE_SUMMIT_2032_US40!$A:$Y,23,FALSE)</f>
        <v>67</v>
      </c>
      <c r="G181">
        <f>VLOOKUP(A181,[1]SE_SUMMIT_2032_US40!$A:$Y,24,FALSE)</f>
        <v>0</v>
      </c>
      <c r="H181">
        <f>VLOOKUP(A181,[1]SE_SUMMIT_2032_US40!$A:$Y,25,FALSE)</f>
        <v>0</v>
      </c>
      <c r="I181">
        <f>VLOOKUP(A181,[1]SE_SUMMIT_2032_US40!$A:$Z,26,FALSE)</f>
        <v>0</v>
      </c>
      <c r="J181">
        <f>VLOOKUP(A181,[2]SE_SUMMIT_2042_US40!$A:$Y,23,FALSE)</f>
        <v>67</v>
      </c>
      <c r="K181">
        <f>VLOOKUP(A181,[2]SE_SUMMIT_2042_US40!$A:$Y,24,FALSE)</f>
        <v>0</v>
      </c>
      <c r="L181">
        <f>VLOOKUP(A181,[2]SE_SUMMIT_2042_US40!$A:$Y,25,FALSE)</f>
        <v>0</v>
      </c>
      <c r="M181">
        <f>VLOOKUP(A181,[2]SE_SUMMIT_2042_US40!$A:$Z,26,FALSE)</f>
        <v>0</v>
      </c>
      <c r="N181">
        <f>VLOOKUP(A181,[3]SE_SUMMIT_2050_US40_Richardson_!$A:$Y,23,FALSE)</f>
        <v>67</v>
      </c>
      <c r="O181">
        <f>VLOOKUP(A181,[3]SE_SUMMIT_2050_US40_Richardson_!$A:$Y,24,FALSE)</f>
        <v>0</v>
      </c>
      <c r="P181">
        <f>VLOOKUP(A181,[3]SE_SUMMIT_2050_US40_Richardson_!$A:$Y,25,FALSE)</f>
        <v>0</v>
      </c>
      <c r="Q181">
        <f>VLOOKUP(A181,[3]SE_SUMMIT_2050_US40_Richardson_!$A:$Z,26,FALSE)</f>
        <v>0</v>
      </c>
      <c r="R181">
        <f t="shared" si="8"/>
        <v>0</v>
      </c>
      <c r="S181">
        <f t="shared" si="9"/>
        <v>0</v>
      </c>
      <c r="T181">
        <f t="shared" si="10"/>
        <v>0</v>
      </c>
      <c r="U181">
        <f t="shared" si="11"/>
        <v>0</v>
      </c>
    </row>
    <row r="182" spans="1:21" x14ac:dyDescent="0.25">
      <c r="A182">
        <v>43181</v>
      </c>
      <c r="B182">
        <v>0</v>
      </c>
      <c r="C182">
        <v>0</v>
      </c>
      <c r="D182">
        <v>0</v>
      </c>
      <c r="E182">
        <v>0</v>
      </c>
      <c r="F182">
        <f>VLOOKUP(A182,[1]SE_SUMMIT_2032_US40!$A:$Y,23,FALSE)</f>
        <v>0</v>
      </c>
      <c r="G182">
        <f>VLOOKUP(A182,[1]SE_SUMMIT_2032_US40!$A:$Y,24,FALSE)</f>
        <v>0</v>
      </c>
      <c r="H182">
        <f>VLOOKUP(A182,[1]SE_SUMMIT_2032_US40!$A:$Y,25,FALSE)</f>
        <v>0</v>
      </c>
      <c r="I182">
        <f>VLOOKUP(A182,[1]SE_SUMMIT_2032_US40!$A:$Z,26,FALSE)</f>
        <v>0</v>
      </c>
      <c r="J182">
        <f>VLOOKUP(A182,[2]SE_SUMMIT_2042_US40!$A:$Y,23,FALSE)</f>
        <v>0</v>
      </c>
      <c r="K182">
        <f>VLOOKUP(A182,[2]SE_SUMMIT_2042_US40!$A:$Y,24,FALSE)</f>
        <v>0</v>
      </c>
      <c r="L182">
        <f>VLOOKUP(A182,[2]SE_SUMMIT_2042_US40!$A:$Y,25,FALSE)</f>
        <v>0</v>
      </c>
      <c r="M182">
        <f>VLOOKUP(A182,[2]SE_SUMMIT_2042_US40!$A:$Z,26,FALSE)</f>
        <v>0</v>
      </c>
      <c r="N182">
        <f>VLOOKUP(A182,[3]SE_SUMMIT_2050_US40_Richardson_!$A:$Y,23,FALSE)</f>
        <v>0</v>
      </c>
      <c r="O182">
        <f>VLOOKUP(A182,[3]SE_SUMMIT_2050_US40_Richardson_!$A:$Y,24,FALSE)</f>
        <v>0</v>
      </c>
      <c r="P182">
        <f>VLOOKUP(A182,[3]SE_SUMMIT_2050_US40_Richardson_!$A:$Y,25,FALSE)</f>
        <v>0</v>
      </c>
      <c r="Q182">
        <f>VLOOKUP(A182,[3]SE_SUMMIT_2050_US40_Richardson_!$A:$Z,26,FALSE)</f>
        <v>0</v>
      </c>
      <c r="R182">
        <f t="shared" si="8"/>
        <v>0</v>
      </c>
      <c r="S182">
        <f t="shared" si="9"/>
        <v>0</v>
      </c>
      <c r="T182">
        <f t="shared" si="10"/>
        <v>0</v>
      </c>
      <c r="U182">
        <f t="shared" si="11"/>
        <v>0</v>
      </c>
    </row>
    <row r="183" spans="1:21" x14ac:dyDescent="0.25">
      <c r="A183">
        <v>43182</v>
      </c>
      <c r="B183">
        <v>4</v>
      </c>
      <c r="C183">
        <v>0</v>
      </c>
      <c r="D183">
        <v>0</v>
      </c>
      <c r="E183">
        <v>303</v>
      </c>
      <c r="F183">
        <f>VLOOKUP(A183,[1]SE_SUMMIT_2032_US40!$A:$Y,23,FALSE)</f>
        <v>100</v>
      </c>
      <c r="G183">
        <f>VLOOKUP(A183,[1]SE_SUMMIT_2032_US40!$A:$Y,24,FALSE)</f>
        <v>0</v>
      </c>
      <c r="H183">
        <f>VLOOKUP(A183,[1]SE_SUMMIT_2032_US40!$A:$Y,25,FALSE)</f>
        <v>0</v>
      </c>
      <c r="I183">
        <f>VLOOKUP(A183,[1]SE_SUMMIT_2032_US40!$A:$Z,26,FALSE)</f>
        <v>303</v>
      </c>
      <c r="J183">
        <f>VLOOKUP(A183,[2]SE_SUMMIT_2042_US40!$A:$Y,23,FALSE)</f>
        <v>100</v>
      </c>
      <c r="K183">
        <f>VLOOKUP(A183,[2]SE_SUMMIT_2042_US40!$A:$Y,24,FALSE)</f>
        <v>0</v>
      </c>
      <c r="L183">
        <f>VLOOKUP(A183,[2]SE_SUMMIT_2042_US40!$A:$Y,25,FALSE)</f>
        <v>0</v>
      </c>
      <c r="M183">
        <f>VLOOKUP(A183,[2]SE_SUMMIT_2042_US40!$A:$Z,26,FALSE)</f>
        <v>303</v>
      </c>
      <c r="N183">
        <f>VLOOKUP(A183,[3]SE_SUMMIT_2050_US40_Richardson_!$A:$Y,23,FALSE)</f>
        <v>100</v>
      </c>
      <c r="O183">
        <f>VLOOKUP(A183,[3]SE_SUMMIT_2050_US40_Richardson_!$A:$Y,24,FALSE)</f>
        <v>0</v>
      </c>
      <c r="P183">
        <f>VLOOKUP(A183,[3]SE_SUMMIT_2050_US40_Richardson_!$A:$Y,25,FALSE)</f>
        <v>0</v>
      </c>
      <c r="Q183">
        <f>VLOOKUP(A183,[3]SE_SUMMIT_2050_US40_Richardson_!$A:$Z,26,FALSE)</f>
        <v>303</v>
      </c>
      <c r="R183">
        <f t="shared" si="8"/>
        <v>96</v>
      </c>
      <c r="S183">
        <f t="shared" si="9"/>
        <v>0</v>
      </c>
      <c r="T183">
        <f t="shared" si="10"/>
        <v>0</v>
      </c>
      <c r="U183">
        <f t="shared" si="11"/>
        <v>0</v>
      </c>
    </row>
    <row r="184" spans="1:21" x14ac:dyDescent="0.25">
      <c r="A184">
        <v>43183</v>
      </c>
      <c r="B184">
        <v>0</v>
      </c>
      <c r="C184">
        <v>0</v>
      </c>
      <c r="D184">
        <v>0</v>
      </c>
      <c r="E184">
        <v>60</v>
      </c>
      <c r="F184">
        <f>VLOOKUP(A184,[1]SE_SUMMIT_2032_US40!$A:$Y,23,FALSE)</f>
        <v>0</v>
      </c>
      <c r="G184">
        <f>VLOOKUP(A184,[1]SE_SUMMIT_2032_US40!$A:$Y,24,FALSE)</f>
        <v>0</v>
      </c>
      <c r="H184">
        <f>VLOOKUP(A184,[1]SE_SUMMIT_2032_US40!$A:$Y,25,FALSE)</f>
        <v>0</v>
      </c>
      <c r="I184">
        <f>VLOOKUP(A184,[1]SE_SUMMIT_2032_US40!$A:$Z,26,FALSE)</f>
        <v>60</v>
      </c>
      <c r="J184">
        <f>VLOOKUP(A184,[2]SE_SUMMIT_2042_US40!$A:$Y,23,FALSE)</f>
        <v>0</v>
      </c>
      <c r="K184">
        <f>VLOOKUP(A184,[2]SE_SUMMIT_2042_US40!$A:$Y,24,FALSE)</f>
        <v>0</v>
      </c>
      <c r="L184">
        <f>VLOOKUP(A184,[2]SE_SUMMIT_2042_US40!$A:$Y,25,FALSE)</f>
        <v>0</v>
      </c>
      <c r="M184">
        <f>VLOOKUP(A184,[2]SE_SUMMIT_2042_US40!$A:$Z,26,FALSE)</f>
        <v>60</v>
      </c>
      <c r="N184">
        <f>VLOOKUP(A184,[3]SE_SUMMIT_2050_US40_Richardson_!$A:$Y,23,FALSE)</f>
        <v>0</v>
      </c>
      <c r="O184">
        <f>VLOOKUP(A184,[3]SE_SUMMIT_2050_US40_Richardson_!$A:$Y,24,FALSE)</f>
        <v>0</v>
      </c>
      <c r="P184">
        <f>VLOOKUP(A184,[3]SE_SUMMIT_2050_US40_Richardson_!$A:$Y,25,FALSE)</f>
        <v>0</v>
      </c>
      <c r="Q184">
        <f>VLOOKUP(A184,[3]SE_SUMMIT_2050_US40_Richardson_!$A:$Z,26,FALSE)</f>
        <v>60</v>
      </c>
      <c r="R184">
        <f t="shared" si="8"/>
        <v>0</v>
      </c>
      <c r="S184">
        <f t="shared" si="9"/>
        <v>0</v>
      </c>
      <c r="T184">
        <f t="shared" si="10"/>
        <v>0</v>
      </c>
      <c r="U184">
        <f t="shared" si="11"/>
        <v>0</v>
      </c>
    </row>
    <row r="185" spans="1:21" x14ac:dyDescent="0.25">
      <c r="A185">
        <v>43184</v>
      </c>
      <c r="B185">
        <v>32</v>
      </c>
      <c r="C185">
        <v>0</v>
      </c>
      <c r="D185">
        <v>0</v>
      </c>
      <c r="E185">
        <v>0</v>
      </c>
      <c r="F185">
        <f>VLOOKUP(A185,[1]SE_SUMMIT_2032_US40!$A:$Y,23,FALSE)</f>
        <v>69</v>
      </c>
      <c r="G185">
        <f>VLOOKUP(A185,[1]SE_SUMMIT_2032_US40!$A:$Y,24,FALSE)</f>
        <v>0</v>
      </c>
      <c r="H185">
        <f>VLOOKUP(A185,[1]SE_SUMMIT_2032_US40!$A:$Y,25,FALSE)</f>
        <v>0</v>
      </c>
      <c r="I185">
        <f>VLOOKUP(A185,[1]SE_SUMMIT_2032_US40!$A:$Z,26,FALSE)</f>
        <v>0</v>
      </c>
      <c r="J185">
        <f>VLOOKUP(A185,[2]SE_SUMMIT_2042_US40!$A:$Y,23,FALSE)</f>
        <v>69</v>
      </c>
      <c r="K185">
        <f>VLOOKUP(A185,[2]SE_SUMMIT_2042_US40!$A:$Y,24,FALSE)</f>
        <v>0</v>
      </c>
      <c r="L185">
        <f>VLOOKUP(A185,[2]SE_SUMMIT_2042_US40!$A:$Y,25,FALSE)</f>
        <v>0</v>
      </c>
      <c r="M185">
        <f>VLOOKUP(A185,[2]SE_SUMMIT_2042_US40!$A:$Z,26,FALSE)</f>
        <v>0</v>
      </c>
      <c r="N185">
        <f>VLOOKUP(A185,[3]SE_SUMMIT_2050_US40_Richardson_!$A:$Y,23,FALSE)</f>
        <v>69</v>
      </c>
      <c r="O185">
        <f>VLOOKUP(A185,[3]SE_SUMMIT_2050_US40_Richardson_!$A:$Y,24,FALSE)</f>
        <v>0</v>
      </c>
      <c r="P185">
        <f>VLOOKUP(A185,[3]SE_SUMMIT_2050_US40_Richardson_!$A:$Y,25,FALSE)</f>
        <v>0</v>
      </c>
      <c r="Q185">
        <f>VLOOKUP(A185,[3]SE_SUMMIT_2050_US40_Richardson_!$A:$Z,26,FALSE)</f>
        <v>0</v>
      </c>
      <c r="R185">
        <f t="shared" si="8"/>
        <v>37</v>
      </c>
      <c r="S185">
        <f t="shared" si="9"/>
        <v>0</v>
      </c>
      <c r="T185">
        <f t="shared" si="10"/>
        <v>0</v>
      </c>
      <c r="U185">
        <f t="shared" si="11"/>
        <v>0</v>
      </c>
    </row>
    <row r="186" spans="1:21" x14ac:dyDescent="0.25">
      <c r="A186">
        <v>43185</v>
      </c>
      <c r="B186">
        <v>16</v>
      </c>
      <c r="C186">
        <v>0</v>
      </c>
      <c r="D186">
        <v>0</v>
      </c>
      <c r="E186">
        <v>0</v>
      </c>
      <c r="F186">
        <f>VLOOKUP(A186,[1]SE_SUMMIT_2032_US40!$A:$Y,23,FALSE)</f>
        <v>16</v>
      </c>
      <c r="G186">
        <f>VLOOKUP(A186,[1]SE_SUMMIT_2032_US40!$A:$Y,24,FALSE)</f>
        <v>0</v>
      </c>
      <c r="H186">
        <f>VLOOKUP(A186,[1]SE_SUMMIT_2032_US40!$A:$Y,25,FALSE)</f>
        <v>0</v>
      </c>
      <c r="I186">
        <f>VLOOKUP(A186,[1]SE_SUMMIT_2032_US40!$A:$Z,26,FALSE)</f>
        <v>0</v>
      </c>
      <c r="J186">
        <f>VLOOKUP(A186,[2]SE_SUMMIT_2042_US40!$A:$Y,23,FALSE)</f>
        <v>16</v>
      </c>
      <c r="K186">
        <f>VLOOKUP(A186,[2]SE_SUMMIT_2042_US40!$A:$Y,24,FALSE)</f>
        <v>0</v>
      </c>
      <c r="L186">
        <f>VLOOKUP(A186,[2]SE_SUMMIT_2042_US40!$A:$Y,25,FALSE)</f>
        <v>0</v>
      </c>
      <c r="M186">
        <f>VLOOKUP(A186,[2]SE_SUMMIT_2042_US40!$A:$Z,26,FALSE)</f>
        <v>0</v>
      </c>
      <c r="N186">
        <f>VLOOKUP(A186,[3]SE_SUMMIT_2050_US40_Richardson_!$A:$Y,23,FALSE)</f>
        <v>16</v>
      </c>
      <c r="O186">
        <f>VLOOKUP(A186,[3]SE_SUMMIT_2050_US40_Richardson_!$A:$Y,24,FALSE)</f>
        <v>0</v>
      </c>
      <c r="P186">
        <f>VLOOKUP(A186,[3]SE_SUMMIT_2050_US40_Richardson_!$A:$Y,25,FALSE)</f>
        <v>0</v>
      </c>
      <c r="Q186">
        <f>VLOOKUP(A186,[3]SE_SUMMIT_2050_US40_Richardson_!$A:$Z,26,FALSE)</f>
        <v>0</v>
      </c>
      <c r="R186">
        <f t="shared" si="8"/>
        <v>0</v>
      </c>
      <c r="S186">
        <f t="shared" si="9"/>
        <v>0</v>
      </c>
      <c r="T186">
        <f t="shared" si="10"/>
        <v>0</v>
      </c>
      <c r="U186">
        <f t="shared" si="11"/>
        <v>0</v>
      </c>
    </row>
    <row r="187" spans="1:21" x14ac:dyDescent="0.25">
      <c r="A187">
        <v>43186</v>
      </c>
      <c r="B187">
        <v>0</v>
      </c>
      <c r="C187">
        <v>0</v>
      </c>
      <c r="D187">
        <v>0</v>
      </c>
      <c r="E187">
        <v>0</v>
      </c>
      <c r="F187">
        <f>VLOOKUP(A187,[1]SE_SUMMIT_2032_US40!$A:$Y,23,FALSE)</f>
        <v>0</v>
      </c>
      <c r="G187">
        <f>VLOOKUP(A187,[1]SE_SUMMIT_2032_US40!$A:$Y,24,FALSE)</f>
        <v>0</v>
      </c>
      <c r="H187">
        <f>VLOOKUP(A187,[1]SE_SUMMIT_2032_US40!$A:$Y,25,FALSE)</f>
        <v>0</v>
      </c>
      <c r="I187">
        <f>VLOOKUP(A187,[1]SE_SUMMIT_2032_US40!$A:$Z,26,FALSE)</f>
        <v>0</v>
      </c>
      <c r="J187">
        <f>VLOOKUP(A187,[2]SE_SUMMIT_2042_US40!$A:$Y,23,FALSE)</f>
        <v>0</v>
      </c>
      <c r="K187">
        <f>VLOOKUP(A187,[2]SE_SUMMIT_2042_US40!$A:$Y,24,FALSE)</f>
        <v>0</v>
      </c>
      <c r="L187">
        <f>VLOOKUP(A187,[2]SE_SUMMIT_2042_US40!$A:$Y,25,FALSE)</f>
        <v>0</v>
      </c>
      <c r="M187">
        <f>VLOOKUP(A187,[2]SE_SUMMIT_2042_US40!$A:$Z,26,FALSE)</f>
        <v>0</v>
      </c>
      <c r="N187">
        <f>VLOOKUP(A187,[3]SE_SUMMIT_2050_US40_Richardson_!$A:$Y,23,FALSE)</f>
        <v>0</v>
      </c>
      <c r="O187">
        <f>VLOOKUP(A187,[3]SE_SUMMIT_2050_US40_Richardson_!$A:$Y,24,FALSE)</f>
        <v>0</v>
      </c>
      <c r="P187">
        <f>VLOOKUP(A187,[3]SE_SUMMIT_2050_US40_Richardson_!$A:$Y,25,FALSE)</f>
        <v>0</v>
      </c>
      <c r="Q187">
        <f>VLOOKUP(A187,[3]SE_SUMMIT_2050_US40_Richardson_!$A:$Z,26,FALSE)</f>
        <v>0</v>
      </c>
      <c r="R187">
        <f t="shared" si="8"/>
        <v>0</v>
      </c>
      <c r="S187">
        <f t="shared" si="9"/>
        <v>0</v>
      </c>
      <c r="T187">
        <f t="shared" si="10"/>
        <v>0</v>
      </c>
      <c r="U187">
        <f t="shared" si="11"/>
        <v>0</v>
      </c>
    </row>
    <row r="188" spans="1:21" x14ac:dyDescent="0.25">
      <c r="A188">
        <v>43187</v>
      </c>
      <c r="B188">
        <v>0</v>
      </c>
      <c r="C188">
        <v>0</v>
      </c>
      <c r="D188">
        <v>0</v>
      </c>
      <c r="E188">
        <v>0</v>
      </c>
      <c r="F188">
        <f>VLOOKUP(A188,[1]SE_SUMMIT_2032_US40!$A:$Y,23,FALSE)</f>
        <v>0</v>
      </c>
      <c r="G188">
        <f>VLOOKUP(A188,[1]SE_SUMMIT_2032_US40!$A:$Y,24,FALSE)</f>
        <v>0</v>
      </c>
      <c r="H188">
        <f>VLOOKUP(A188,[1]SE_SUMMIT_2032_US40!$A:$Y,25,FALSE)</f>
        <v>0</v>
      </c>
      <c r="I188">
        <f>VLOOKUP(A188,[1]SE_SUMMIT_2032_US40!$A:$Z,26,FALSE)</f>
        <v>0</v>
      </c>
      <c r="J188">
        <f>VLOOKUP(A188,[2]SE_SUMMIT_2042_US40!$A:$Y,23,FALSE)</f>
        <v>0</v>
      </c>
      <c r="K188">
        <f>VLOOKUP(A188,[2]SE_SUMMIT_2042_US40!$A:$Y,24,FALSE)</f>
        <v>0</v>
      </c>
      <c r="L188">
        <f>VLOOKUP(A188,[2]SE_SUMMIT_2042_US40!$A:$Y,25,FALSE)</f>
        <v>0</v>
      </c>
      <c r="M188">
        <f>VLOOKUP(A188,[2]SE_SUMMIT_2042_US40!$A:$Z,26,FALSE)</f>
        <v>0</v>
      </c>
      <c r="N188">
        <f>VLOOKUP(A188,[3]SE_SUMMIT_2050_US40_Richardson_!$A:$Y,23,FALSE)</f>
        <v>0</v>
      </c>
      <c r="O188">
        <f>VLOOKUP(A188,[3]SE_SUMMIT_2050_US40_Richardson_!$A:$Y,24,FALSE)</f>
        <v>0</v>
      </c>
      <c r="P188">
        <f>VLOOKUP(A188,[3]SE_SUMMIT_2050_US40_Richardson_!$A:$Y,25,FALSE)</f>
        <v>0</v>
      </c>
      <c r="Q188">
        <f>VLOOKUP(A188,[3]SE_SUMMIT_2050_US40_Richardson_!$A:$Z,26,FALSE)</f>
        <v>0</v>
      </c>
      <c r="R188">
        <f t="shared" si="8"/>
        <v>0</v>
      </c>
      <c r="S188">
        <f t="shared" si="9"/>
        <v>0</v>
      </c>
      <c r="T188">
        <f t="shared" si="10"/>
        <v>0</v>
      </c>
      <c r="U188">
        <f t="shared" si="11"/>
        <v>0</v>
      </c>
    </row>
    <row r="189" spans="1:21" x14ac:dyDescent="0.25">
      <c r="A189">
        <v>43188</v>
      </c>
      <c r="B189">
        <v>2</v>
      </c>
      <c r="C189">
        <v>0</v>
      </c>
      <c r="D189">
        <v>0</v>
      </c>
      <c r="E189">
        <v>0</v>
      </c>
      <c r="F189">
        <f>VLOOKUP(A189,[1]SE_SUMMIT_2032_US40!$A:$Y,23,FALSE)</f>
        <v>2</v>
      </c>
      <c r="G189">
        <f>VLOOKUP(A189,[1]SE_SUMMIT_2032_US40!$A:$Y,24,FALSE)</f>
        <v>0</v>
      </c>
      <c r="H189">
        <f>VLOOKUP(A189,[1]SE_SUMMIT_2032_US40!$A:$Y,25,FALSE)</f>
        <v>0</v>
      </c>
      <c r="I189">
        <f>VLOOKUP(A189,[1]SE_SUMMIT_2032_US40!$A:$Z,26,FALSE)</f>
        <v>0</v>
      </c>
      <c r="J189">
        <f>VLOOKUP(A189,[2]SE_SUMMIT_2042_US40!$A:$Y,23,FALSE)</f>
        <v>2</v>
      </c>
      <c r="K189">
        <f>VLOOKUP(A189,[2]SE_SUMMIT_2042_US40!$A:$Y,24,FALSE)</f>
        <v>0</v>
      </c>
      <c r="L189">
        <f>VLOOKUP(A189,[2]SE_SUMMIT_2042_US40!$A:$Y,25,FALSE)</f>
        <v>0</v>
      </c>
      <c r="M189">
        <f>VLOOKUP(A189,[2]SE_SUMMIT_2042_US40!$A:$Z,26,FALSE)</f>
        <v>0</v>
      </c>
      <c r="N189">
        <f>VLOOKUP(A189,[3]SE_SUMMIT_2050_US40_Richardson_!$A:$Y,23,FALSE)</f>
        <v>2</v>
      </c>
      <c r="O189">
        <f>VLOOKUP(A189,[3]SE_SUMMIT_2050_US40_Richardson_!$A:$Y,24,FALSE)</f>
        <v>0</v>
      </c>
      <c r="P189">
        <f>VLOOKUP(A189,[3]SE_SUMMIT_2050_US40_Richardson_!$A:$Y,25,FALSE)</f>
        <v>0</v>
      </c>
      <c r="Q189">
        <f>VLOOKUP(A189,[3]SE_SUMMIT_2050_US40_Richardson_!$A:$Z,26,FALSE)</f>
        <v>0</v>
      </c>
      <c r="R189">
        <f t="shared" si="8"/>
        <v>0</v>
      </c>
      <c r="S189">
        <f t="shared" si="9"/>
        <v>0</v>
      </c>
      <c r="T189">
        <f t="shared" si="10"/>
        <v>0</v>
      </c>
      <c r="U189">
        <f t="shared" si="11"/>
        <v>0</v>
      </c>
    </row>
    <row r="190" spans="1:21" x14ac:dyDescent="0.25">
      <c r="A190">
        <v>43189</v>
      </c>
      <c r="B190">
        <v>3</v>
      </c>
      <c r="C190">
        <v>0</v>
      </c>
      <c r="D190">
        <v>0</v>
      </c>
      <c r="E190">
        <v>0</v>
      </c>
      <c r="F190">
        <f>VLOOKUP(A190,[1]SE_SUMMIT_2032_US40!$A:$Y,23,FALSE)</f>
        <v>3</v>
      </c>
      <c r="G190">
        <f>VLOOKUP(A190,[1]SE_SUMMIT_2032_US40!$A:$Y,24,FALSE)</f>
        <v>0</v>
      </c>
      <c r="H190">
        <f>VLOOKUP(A190,[1]SE_SUMMIT_2032_US40!$A:$Y,25,FALSE)</f>
        <v>0</v>
      </c>
      <c r="I190">
        <f>VLOOKUP(A190,[1]SE_SUMMIT_2032_US40!$A:$Z,26,FALSE)</f>
        <v>0</v>
      </c>
      <c r="J190">
        <f>VLOOKUP(A190,[2]SE_SUMMIT_2042_US40!$A:$Y,23,FALSE)</f>
        <v>3</v>
      </c>
      <c r="K190">
        <f>VLOOKUP(A190,[2]SE_SUMMIT_2042_US40!$A:$Y,24,FALSE)</f>
        <v>0</v>
      </c>
      <c r="L190">
        <f>VLOOKUP(A190,[2]SE_SUMMIT_2042_US40!$A:$Y,25,FALSE)</f>
        <v>0</v>
      </c>
      <c r="M190">
        <f>VLOOKUP(A190,[2]SE_SUMMIT_2042_US40!$A:$Z,26,FALSE)</f>
        <v>0</v>
      </c>
      <c r="N190">
        <f>VLOOKUP(A190,[3]SE_SUMMIT_2050_US40_Richardson_!$A:$Y,23,FALSE)</f>
        <v>3</v>
      </c>
      <c r="O190">
        <f>VLOOKUP(A190,[3]SE_SUMMIT_2050_US40_Richardson_!$A:$Y,24,FALSE)</f>
        <v>0</v>
      </c>
      <c r="P190">
        <f>VLOOKUP(A190,[3]SE_SUMMIT_2050_US40_Richardson_!$A:$Y,25,FALSE)</f>
        <v>0</v>
      </c>
      <c r="Q190">
        <f>VLOOKUP(A190,[3]SE_SUMMIT_2050_US40_Richardson_!$A:$Z,26,FALSE)</f>
        <v>0</v>
      </c>
      <c r="R190">
        <f t="shared" si="8"/>
        <v>0</v>
      </c>
      <c r="S190">
        <f t="shared" si="9"/>
        <v>0</v>
      </c>
      <c r="T190">
        <f t="shared" si="10"/>
        <v>0</v>
      </c>
      <c r="U190">
        <f t="shared" si="11"/>
        <v>0</v>
      </c>
    </row>
    <row r="191" spans="1:21" x14ac:dyDescent="0.25">
      <c r="A191">
        <v>43190</v>
      </c>
      <c r="B191">
        <v>1</v>
      </c>
      <c r="C191">
        <v>0</v>
      </c>
      <c r="D191">
        <v>0</v>
      </c>
      <c r="E191">
        <v>0</v>
      </c>
      <c r="F191">
        <f>VLOOKUP(A191,[1]SE_SUMMIT_2032_US40!$A:$Y,23,FALSE)</f>
        <v>1</v>
      </c>
      <c r="G191">
        <f>VLOOKUP(A191,[1]SE_SUMMIT_2032_US40!$A:$Y,24,FALSE)</f>
        <v>0</v>
      </c>
      <c r="H191">
        <f>VLOOKUP(A191,[1]SE_SUMMIT_2032_US40!$A:$Y,25,FALSE)</f>
        <v>0</v>
      </c>
      <c r="I191">
        <f>VLOOKUP(A191,[1]SE_SUMMIT_2032_US40!$A:$Z,26,FALSE)</f>
        <v>0</v>
      </c>
      <c r="J191">
        <f>VLOOKUP(A191,[2]SE_SUMMIT_2042_US40!$A:$Y,23,FALSE)</f>
        <v>1</v>
      </c>
      <c r="K191">
        <f>VLOOKUP(A191,[2]SE_SUMMIT_2042_US40!$A:$Y,24,FALSE)</f>
        <v>0</v>
      </c>
      <c r="L191">
        <f>VLOOKUP(A191,[2]SE_SUMMIT_2042_US40!$A:$Y,25,FALSE)</f>
        <v>0</v>
      </c>
      <c r="M191">
        <f>VLOOKUP(A191,[2]SE_SUMMIT_2042_US40!$A:$Z,26,FALSE)</f>
        <v>0</v>
      </c>
      <c r="N191">
        <f>VLOOKUP(A191,[3]SE_SUMMIT_2050_US40_Richardson_!$A:$Y,23,FALSE)</f>
        <v>1</v>
      </c>
      <c r="O191">
        <f>VLOOKUP(A191,[3]SE_SUMMIT_2050_US40_Richardson_!$A:$Y,24,FALSE)</f>
        <v>0</v>
      </c>
      <c r="P191">
        <f>VLOOKUP(A191,[3]SE_SUMMIT_2050_US40_Richardson_!$A:$Y,25,FALSE)</f>
        <v>0</v>
      </c>
      <c r="Q191">
        <f>VLOOKUP(A191,[3]SE_SUMMIT_2050_US40_Richardson_!$A:$Z,26,FALSE)</f>
        <v>0</v>
      </c>
      <c r="R191">
        <f t="shared" si="8"/>
        <v>0</v>
      </c>
      <c r="S191">
        <f t="shared" si="9"/>
        <v>0</v>
      </c>
      <c r="T191">
        <f t="shared" si="10"/>
        <v>0</v>
      </c>
      <c r="U191">
        <f t="shared" si="11"/>
        <v>0</v>
      </c>
    </row>
    <row r="192" spans="1:21" x14ac:dyDescent="0.25">
      <c r="A192">
        <v>43191</v>
      </c>
      <c r="B192">
        <v>7</v>
      </c>
      <c r="C192">
        <v>0</v>
      </c>
      <c r="D192">
        <v>0</v>
      </c>
      <c r="E192">
        <v>0</v>
      </c>
      <c r="F192">
        <f>VLOOKUP(A192,[1]SE_SUMMIT_2032_US40!$A:$Y,23,FALSE)</f>
        <v>7</v>
      </c>
      <c r="G192">
        <f>VLOOKUP(A192,[1]SE_SUMMIT_2032_US40!$A:$Y,24,FALSE)</f>
        <v>0</v>
      </c>
      <c r="H192">
        <f>VLOOKUP(A192,[1]SE_SUMMIT_2032_US40!$A:$Y,25,FALSE)</f>
        <v>0</v>
      </c>
      <c r="I192">
        <f>VLOOKUP(A192,[1]SE_SUMMIT_2032_US40!$A:$Z,26,FALSE)</f>
        <v>0</v>
      </c>
      <c r="J192">
        <f>VLOOKUP(A192,[2]SE_SUMMIT_2042_US40!$A:$Y,23,FALSE)</f>
        <v>7</v>
      </c>
      <c r="K192">
        <f>VLOOKUP(A192,[2]SE_SUMMIT_2042_US40!$A:$Y,24,FALSE)</f>
        <v>0</v>
      </c>
      <c r="L192">
        <f>VLOOKUP(A192,[2]SE_SUMMIT_2042_US40!$A:$Y,25,FALSE)</f>
        <v>0</v>
      </c>
      <c r="M192">
        <f>VLOOKUP(A192,[2]SE_SUMMIT_2042_US40!$A:$Z,26,FALSE)</f>
        <v>0</v>
      </c>
      <c r="N192">
        <f>VLOOKUP(A192,[3]SE_SUMMIT_2050_US40_Richardson_!$A:$Y,23,FALSE)</f>
        <v>7</v>
      </c>
      <c r="O192">
        <f>VLOOKUP(A192,[3]SE_SUMMIT_2050_US40_Richardson_!$A:$Y,24,FALSE)</f>
        <v>0</v>
      </c>
      <c r="P192">
        <f>VLOOKUP(A192,[3]SE_SUMMIT_2050_US40_Richardson_!$A:$Y,25,FALSE)</f>
        <v>0</v>
      </c>
      <c r="Q192">
        <f>VLOOKUP(A192,[3]SE_SUMMIT_2050_US40_Richardson_!$A:$Z,26,FALSE)</f>
        <v>0</v>
      </c>
      <c r="R192">
        <f t="shared" si="8"/>
        <v>0</v>
      </c>
      <c r="S192">
        <f t="shared" si="9"/>
        <v>0</v>
      </c>
      <c r="T192">
        <f t="shared" si="10"/>
        <v>0</v>
      </c>
      <c r="U192">
        <f t="shared" si="11"/>
        <v>0</v>
      </c>
    </row>
    <row r="193" spans="1:21" x14ac:dyDescent="0.25">
      <c r="A193">
        <v>43192</v>
      </c>
      <c r="B193">
        <v>6</v>
      </c>
      <c r="C193">
        <v>0</v>
      </c>
      <c r="D193">
        <v>0</v>
      </c>
      <c r="E193">
        <v>0</v>
      </c>
      <c r="F193">
        <f>VLOOKUP(A193,[1]SE_SUMMIT_2032_US40!$A:$Y,23,FALSE)</f>
        <v>6</v>
      </c>
      <c r="G193">
        <f>VLOOKUP(A193,[1]SE_SUMMIT_2032_US40!$A:$Y,24,FALSE)</f>
        <v>0</v>
      </c>
      <c r="H193">
        <f>VLOOKUP(A193,[1]SE_SUMMIT_2032_US40!$A:$Y,25,FALSE)</f>
        <v>0</v>
      </c>
      <c r="I193">
        <f>VLOOKUP(A193,[1]SE_SUMMIT_2032_US40!$A:$Z,26,FALSE)</f>
        <v>0</v>
      </c>
      <c r="J193">
        <f>VLOOKUP(A193,[2]SE_SUMMIT_2042_US40!$A:$Y,23,FALSE)</f>
        <v>6</v>
      </c>
      <c r="K193">
        <f>VLOOKUP(A193,[2]SE_SUMMIT_2042_US40!$A:$Y,24,FALSE)</f>
        <v>0</v>
      </c>
      <c r="L193">
        <f>VLOOKUP(A193,[2]SE_SUMMIT_2042_US40!$A:$Y,25,FALSE)</f>
        <v>0</v>
      </c>
      <c r="M193">
        <f>VLOOKUP(A193,[2]SE_SUMMIT_2042_US40!$A:$Z,26,FALSE)</f>
        <v>0</v>
      </c>
      <c r="N193">
        <f>VLOOKUP(A193,[3]SE_SUMMIT_2050_US40_Richardson_!$A:$Y,23,FALSE)</f>
        <v>6</v>
      </c>
      <c r="O193">
        <f>VLOOKUP(A193,[3]SE_SUMMIT_2050_US40_Richardson_!$A:$Y,24,FALSE)</f>
        <v>0</v>
      </c>
      <c r="P193">
        <f>VLOOKUP(A193,[3]SE_SUMMIT_2050_US40_Richardson_!$A:$Y,25,FALSE)</f>
        <v>0</v>
      </c>
      <c r="Q193">
        <f>VLOOKUP(A193,[3]SE_SUMMIT_2050_US40_Richardson_!$A:$Z,26,FALSE)</f>
        <v>0</v>
      </c>
      <c r="R193">
        <f t="shared" si="8"/>
        <v>0</v>
      </c>
      <c r="S193">
        <f t="shared" si="9"/>
        <v>0</v>
      </c>
      <c r="T193">
        <f t="shared" si="10"/>
        <v>0</v>
      </c>
      <c r="U193">
        <f t="shared" si="11"/>
        <v>0</v>
      </c>
    </row>
    <row r="194" spans="1:21" x14ac:dyDescent="0.25">
      <c r="A194">
        <v>43193</v>
      </c>
      <c r="B194">
        <v>19</v>
      </c>
      <c r="C194">
        <v>0</v>
      </c>
      <c r="D194">
        <v>0</v>
      </c>
      <c r="E194">
        <v>0</v>
      </c>
      <c r="F194">
        <f>VLOOKUP(A194,[1]SE_SUMMIT_2032_US40!$A:$Y,23,FALSE)</f>
        <v>19</v>
      </c>
      <c r="G194">
        <f>VLOOKUP(A194,[1]SE_SUMMIT_2032_US40!$A:$Y,24,FALSE)</f>
        <v>0</v>
      </c>
      <c r="H194">
        <f>VLOOKUP(A194,[1]SE_SUMMIT_2032_US40!$A:$Y,25,FALSE)</f>
        <v>0</v>
      </c>
      <c r="I194">
        <f>VLOOKUP(A194,[1]SE_SUMMIT_2032_US40!$A:$Z,26,FALSE)</f>
        <v>0</v>
      </c>
      <c r="J194">
        <f>VLOOKUP(A194,[2]SE_SUMMIT_2042_US40!$A:$Y,23,FALSE)</f>
        <v>19</v>
      </c>
      <c r="K194">
        <f>VLOOKUP(A194,[2]SE_SUMMIT_2042_US40!$A:$Y,24,FALSE)</f>
        <v>0</v>
      </c>
      <c r="L194">
        <f>VLOOKUP(A194,[2]SE_SUMMIT_2042_US40!$A:$Y,25,FALSE)</f>
        <v>0</v>
      </c>
      <c r="M194">
        <f>VLOOKUP(A194,[2]SE_SUMMIT_2042_US40!$A:$Z,26,FALSE)</f>
        <v>0</v>
      </c>
      <c r="N194">
        <f>VLOOKUP(A194,[3]SE_SUMMIT_2050_US40_Richardson_!$A:$Y,23,FALSE)</f>
        <v>19</v>
      </c>
      <c r="O194">
        <f>VLOOKUP(A194,[3]SE_SUMMIT_2050_US40_Richardson_!$A:$Y,24,FALSE)</f>
        <v>0</v>
      </c>
      <c r="P194">
        <f>VLOOKUP(A194,[3]SE_SUMMIT_2050_US40_Richardson_!$A:$Y,25,FALSE)</f>
        <v>0</v>
      </c>
      <c r="Q194">
        <f>VLOOKUP(A194,[3]SE_SUMMIT_2050_US40_Richardson_!$A:$Z,26,FALSE)</f>
        <v>0</v>
      </c>
      <c r="R194">
        <f t="shared" si="8"/>
        <v>0</v>
      </c>
      <c r="S194">
        <f t="shared" si="9"/>
        <v>0</v>
      </c>
      <c r="T194">
        <f t="shared" si="10"/>
        <v>0</v>
      </c>
      <c r="U194">
        <f t="shared" si="11"/>
        <v>0</v>
      </c>
    </row>
    <row r="195" spans="1:21" x14ac:dyDescent="0.25">
      <c r="A195">
        <v>43194</v>
      </c>
      <c r="B195">
        <v>1</v>
      </c>
      <c r="C195">
        <v>0</v>
      </c>
      <c r="D195">
        <v>0</v>
      </c>
      <c r="E195">
        <v>0</v>
      </c>
      <c r="F195">
        <f>VLOOKUP(A195,[1]SE_SUMMIT_2032_US40!$A:$Y,23,FALSE)</f>
        <v>1</v>
      </c>
      <c r="G195">
        <f>VLOOKUP(A195,[1]SE_SUMMIT_2032_US40!$A:$Y,24,FALSE)</f>
        <v>0</v>
      </c>
      <c r="H195">
        <f>VLOOKUP(A195,[1]SE_SUMMIT_2032_US40!$A:$Y,25,FALSE)</f>
        <v>0</v>
      </c>
      <c r="I195">
        <f>VLOOKUP(A195,[1]SE_SUMMIT_2032_US40!$A:$Z,26,FALSE)</f>
        <v>0</v>
      </c>
      <c r="J195">
        <f>VLOOKUP(A195,[2]SE_SUMMIT_2042_US40!$A:$Y,23,FALSE)</f>
        <v>1</v>
      </c>
      <c r="K195">
        <f>VLOOKUP(A195,[2]SE_SUMMIT_2042_US40!$A:$Y,24,FALSE)</f>
        <v>0</v>
      </c>
      <c r="L195">
        <f>VLOOKUP(A195,[2]SE_SUMMIT_2042_US40!$A:$Y,25,FALSE)</f>
        <v>0</v>
      </c>
      <c r="M195">
        <f>VLOOKUP(A195,[2]SE_SUMMIT_2042_US40!$A:$Z,26,FALSE)</f>
        <v>0</v>
      </c>
      <c r="N195">
        <f>VLOOKUP(A195,[3]SE_SUMMIT_2050_US40_Richardson_!$A:$Y,23,FALSE)</f>
        <v>1</v>
      </c>
      <c r="O195">
        <f>VLOOKUP(A195,[3]SE_SUMMIT_2050_US40_Richardson_!$A:$Y,24,FALSE)</f>
        <v>0</v>
      </c>
      <c r="P195">
        <f>VLOOKUP(A195,[3]SE_SUMMIT_2050_US40_Richardson_!$A:$Y,25,FALSE)</f>
        <v>0</v>
      </c>
      <c r="Q195">
        <f>VLOOKUP(A195,[3]SE_SUMMIT_2050_US40_Richardson_!$A:$Z,26,FALSE)</f>
        <v>0</v>
      </c>
      <c r="R195">
        <f t="shared" ref="R195:R258" si="12">N195-B195</f>
        <v>0</v>
      </c>
      <c r="S195">
        <f t="shared" ref="S195:S258" si="13">O195-C195</f>
        <v>0</v>
      </c>
      <c r="T195">
        <f t="shared" ref="T195:T258" si="14">P195-D195</f>
        <v>0</v>
      </c>
      <c r="U195">
        <f t="shared" ref="U195:U258" si="15">Q195-E195</f>
        <v>0</v>
      </c>
    </row>
    <row r="196" spans="1:21" x14ac:dyDescent="0.25">
      <c r="A196">
        <v>43195</v>
      </c>
      <c r="B196">
        <v>0</v>
      </c>
      <c r="C196">
        <v>0</v>
      </c>
      <c r="D196">
        <v>0</v>
      </c>
      <c r="E196">
        <v>0</v>
      </c>
      <c r="F196">
        <f>VLOOKUP(A196,[1]SE_SUMMIT_2032_US40!$A:$Y,23,FALSE)</f>
        <v>0</v>
      </c>
      <c r="G196">
        <f>VLOOKUP(A196,[1]SE_SUMMIT_2032_US40!$A:$Y,24,FALSE)</f>
        <v>0</v>
      </c>
      <c r="H196">
        <f>VLOOKUP(A196,[1]SE_SUMMIT_2032_US40!$A:$Y,25,FALSE)</f>
        <v>0</v>
      </c>
      <c r="I196">
        <f>VLOOKUP(A196,[1]SE_SUMMIT_2032_US40!$A:$Z,26,FALSE)</f>
        <v>0</v>
      </c>
      <c r="J196">
        <f>VLOOKUP(A196,[2]SE_SUMMIT_2042_US40!$A:$Y,23,FALSE)</f>
        <v>0</v>
      </c>
      <c r="K196">
        <f>VLOOKUP(A196,[2]SE_SUMMIT_2042_US40!$A:$Y,24,FALSE)</f>
        <v>0</v>
      </c>
      <c r="L196">
        <f>VLOOKUP(A196,[2]SE_SUMMIT_2042_US40!$A:$Y,25,FALSE)</f>
        <v>0</v>
      </c>
      <c r="M196">
        <f>VLOOKUP(A196,[2]SE_SUMMIT_2042_US40!$A:$Z,26,FALSE)</f>
        <v>0</v>
      </c>
      <c r="N196">
        <f>VLOOKUP(A196,[3]SE_SUMMIT_2050_US40_Richardson_!$A:$Y,23,FALSE)</f>
        <v>0</v>
      </c>
      <c r="O196">
        <f>VLOOKUP(A196,[3]SE_SUMMIT_2050_US40_Richardson_!$A:$Y,24,FALSE)</f>
        <v>0</v>
      </c>
      <c r="P196">
        <f>VLOOKUP(A196,[3]SE_SUMMIT_2050_US40_Richardson_!$A:$Y,25,FALSE)</f>
        <v>0</v>
      </c>
      <c r="Q196">
        <f>VLOOKUP(A196,[3]SE_SUMMIT_2050_US40_Richardson_!$A:$Z,26,FALSE)</f>
        <v>0</v>
      </c>
      <c r="R196">
        <f t="shared" si="12"/>
        <v>0</v>
      </c>
      <c r="S196">
        <f t="shared" si="13"/>
        <v>0</v>
      </c>
      <c r="T196">
        <f t="shared" si="14"/>
        <v>0</v>
      </c>
      <c r="U196">
        <f t="shared" si="15"/>
        <v>0</v>
      </c>
    </row>
    <row r="197" spans="1:21" x14ac:dyDescent="0.25">
      <c r="A197">
        <v>43196</v>
      </c>
      <c r="B197">
        <v>5</v>
      </c>
      <c r="C197">
        <v>0</v>
      </c>
      <c r="D197">
        <v>0</v>
      </c>
      <c r="E197">
        <v>0</v>
      </c>
      <c r="F197">
        <f>VLOOKUP(A197,[1]SE_SUMMIT_2032_US40!$A:$Y,23,FALSE)</f>
        <v>5</v>
      </c>
      <c r="G197">
        <f>VLOOKUP(A197,[1]SE_SUMMIT_2032_US40!$A:$Y,24,FALSE)</f>
        <v>0</v>
      </c>
      <c r="H197">
        <f>VLOOKUP(A197,[1]SE_SUMMIT_2032_US40!$A:$Y,25,FALSE)</f>
        <v>0</v>
      </c>
      <c r="I197">
        <f>VLOOKUP(A197,[1]SE_SUMMIT_2032_US40!$A:$Z,26,FALSE)</f>
        <v>0</v>
      </c>
      <c r="J197">
        <f>VLOOKUP(A197,[2]SE_SUMMIT_2042_US40!$A:$Y,23,FALSE)</f>
        <v>5</v>
      </c>
      <c r="K197">
        <f>VLOOKUP(A197,[2]SE_SUMMIT_2042_US40!$A:$Y,24,FALSE)</f>
        <v>0</v>
      </c>
      <c r="L197">
        <f>VLOOKUP(A197,[2]SE_SUMMIT_2042_US40!$A:$Y,25,FALSE)</f>
        <v>0</v>
      </c>
      <c r="M197">
        <f>VLOOKUP(A197,[2]SE_SUMMIT_2042_US40!$A:$Z,26,FALSE)</f>
        <v>0</v>
      </c>
      <c r="N197">
        <f>VLOOKUP(A197,[3]SE_SUMMIT_2050_US40_Richardson_!$A:$Y,23,FALSE)</f>
        <v>5</v>
      </c>
      <c r="O197">
        <f>VLOOKUP(A197,[3]SE_SUMMIT_2050_US40_Richardson_!$A:$Y,24,FALSE)</f>
        <v>0</v>
      </c>
      <c r="P197">
        <f>VLOOKUP(A197,[3]SE_SUMMIT_2050_US40_Richardson_!$A:$Y,25,FALSE)</f>
        <v>0</v>
      </c>
      <c r="Q197">
        <f>VLOOKUP(A197,[3]SE_SUMMIT_2050_US40_Richardson_!$A:$Z,26,FALSE)</f>
        <v>0</v>
      </c>
      <c r="R197">
        <f t="shared" si="12"/>
        <v>0</v>
      </c>
      <c r="S197">
        <f t="shared" si="13"/>
        <v>0</v>
      </c>
      <c r="T197">
        <f t="shared" si="14"/>
        <v>0</v>
      </c>
      <c r="U197">
        <f t="shared" si="15"/>
        <v>0</v>
      </c>
    </row>
    <row r="198" spans="1:21" x14ac:dyDescent="0.25">
      <c r="A198">
        <v>43197</v>
      </c>
      <c r="B198">
        <v>7</v>
      </c>
      <c r="C198">
        <v>0</v>
      </c>
      <c r="D198">
        <v>0</v>
      </c>
      <c r="E198">
        <v>0</v>
      </c>
      <c r="F198">
        <f>VLOOKUP(A198,[1]SE_SUMMIT_2032_US40!$A:$Y,23,FALSE)</f>
        <v>7</v>
      </c>
      <c r="G198">
        <f>VLOOKUP(A198,[1]SE_SUMMIT_2032_US40!$A:$Y,24,FALSE)</f>
        <v>0</v>
      </c>
      <c r="H198">
        <f>VLOOKUP(A198,[1]SE_SUMMIT_2032_US40!$A:$Y,25,FALSE)</f>
        <v>0</v>
      </c>
      <c r="I198">
        <f>VLOOKUP(A198,[1]SE_SUMMIT_2032_US40!$A:$Z,26,FALSE)</f>
        <v>0</v>
      </c>
      <c r="J198">
        <f>VLOOKUP(A198,[2]SE_SUMMIT_2042_US40!$A:$Y,23,FALSE)</f>
        <v>7</v>
      </c>
      <c r="K198">
        <f>VLOOKUP(A198,[2]SE_SUMMIT_2042_US40!$A:$Y,24,FALSE)</f>
        <v>0</v>
      </c>
      <c r="L198">
        <f>VLOOKUP(A198,[2]SE_SUMMIT_2042_US40!$A:$Y,25,FALSE)</f>
        <v>0</v>
      </c>
      <c r="M198">
        <f>VLOOKUP(A198,[2]SE_SUMMIT_2042_US40!$A:$Z,26,FALSE)</f>
        <v>0</v>
      </c>
      <c r="N198">
        <f>VLOOKUP(A198,[3]SE_SUMMIT_2050_US40_Richardson_!$A:$Y,23,FALSE)</f>
        <v>7</v>
      </c>
      <c r="O198">
        <f>VLOOKUP(A198,[3]SE_SUMMIT_2050_US40_Richardson_!$A:$Y,24,FALSE)</f>
        <v>0</v>
      </c>
      <c r="P198">
        <f>VLOOKUP(A198,[3]SE_SUMMIT_2050_US40_Richardson_!$A:$Y,25,FALSE)</f>
        <v>0</v>
      </c>
      <c r="Q198">
        <f>VLOOKUP(A198,[3]SE_SUMMIT_2050_US40_Richardson_!$A:$Z,26,FALSE)</f>
        <v>0</v>
      </c>
      <c r="R198">
        <f t="shared" si="12"/>
        <v>0</v>
      </c>
      <c r="S198">
        <f t="shared" si="13"/>
        <v>0</v>
      </c>
      <c r="T198">
        <f t="shared" si="14"/>
        <v>0</v>
      </c>
      <c r="U198">
        <f t="shared" si="15"/>
        <v>0</v>
      </c>
    </row>
    <row r="199" spans="1:21" x14ac:dyDescent="0.25">
      <c r="A199">
        <v>43198</v>
      </c>
      <c r="B199">
        <v>9</v>
      </c>
      <c r="C199">
        <v>0</v>
      </c>
      <c r="D199">
        <v>0</v>
      </c>
      <c r="E199">
        <v>0</v>
      </c>
      <c r="F199">
        <f>VLOOKUP(A199,[1]SE_SUMMIT_2032_US40!$A:$Y,23,FALSE)</f>
        <v>9</v>
      </c>
      <c r="G199">
        <f>VLOOKUP(A199,[1]SE_SUMMIT_2032_US40!$A:$Y,24,FALSE)</f>
        <v>0</v>
      </c>
      <c r="H199">
        <f>VLOOKUP(A199,[1]SE_SUMMIT_2032_US40!$A:$Y,25,FALSE)</f>
        <v>0</v>
      </c>
      <c r="I199">
        <f>VLOOKUP(A199,[1]SE_SUMMIT_2032_US40!$A:$Z,26,FALSE)</f>
        <v>0</v>
      </c>
      <c r="J199">
        <f>VLOOKUP(A199,[2]SE_SUMMIT_2042_US40!$A:$Y,23,FALSE)</f>
        <v>9</v>
      </c>
      <c r="K199">
        <f>VLOOKUP(A199,[2]SE_SUMMIT_2042_US40!$A:$Y,24,FALSE)</f>
        <v>0</v>
      </c>
      <c r="L199">
        <f>VLOOKUP(A199,[2]SE_SUMMIT_2042_US40!$A:$Y,25,FALSE)</f>
        <v>0</v>
      </c>
      <c r="M199">
        <f>VLOOKUP(A199,[2]SE_SUMMIT_2042_US40!$A:$Z,26,FALSE)</f>
        <v>0</v>
      </c>
      <c r="N199">
        <f>VLOOKUP(A199,[3]SE_SUMMIT_2050_US40_Richardson_!$A:$Y,23,FALSE)</f>
        <v>9</v>
      </c>
      <c r="O199">
        <f>VLOOKUP(A199,[3]SE_SUMMIT_2050_US40_Richardson_!$A:$Y,24,FALSE)</f>
        <v>0</v>
      </c>
      <c r="P199">
        <f>VLOOKUP(A199,[3]SE_SUMMIT_2050_US40_Richardson_!$A:$Y,25,FALSE)</f>
        <v>0</v>
      </c>
      <c r="Q199">
        <f>VLOOKUP(A199,[3]SE_SUMMIT_2050_US40_Richardson_!$A:$Z,26,FALSE)</f>
        <v>0</v>
      </c>
      <c r="R199">
        <f t="shared" si="12"/>
        <v>0</v>
      </c>
      <c r="S199">
        <f t="shared" si="13"/>
        <v>0</v>
      </c>
      <c r="T199">
        <f t="shared" si="14"/>
        <v>0</v>
      </c>
      <c r="U199">
        <f t="shared" si="15"/>
        <v>0</v>
      </c>
    </row>
    <row r="200" spans="1:21" x14ac:dyDescent="0.25">
      <c r="A200">
        <v>43199</v>
      </c>
      <c r="B200">
        <v>1</v>
      </c>
      <c r="C200">
        <v>0</v>
      </c>
      <c r="D200">
        <v>0</v>
      </c>
      <c r="E200">
        <v>0</v>
      </c>
      <c r="F200">
        <f>VLOOKUP(A200,[1]SE_SUMMIT_2032_US40!$A:$Y,23,FALSE)</f>
        <v>1</v>
      </c>
      <c r="G200">
        <f>VLOOKUP(A200,[1]SE_SUMMIT_2032_US40!$A:$Y,24,FALSE)</f>
        <v>0</v>
      </c>
      <c r="H200">
        <f>VLOOKUP(A200,[1]SE_SUMMIT_2032_US40!$A:$Y,25,FALSE)</f>
        <v>0</v>
      </c>
      <c r="I200">
        <f>VLOOKUP(A200,[1]SE_SUMMIT_2032_US40!$A:$Z,26,FALSE)</f>
        <v>0</v>
      </c>
      <c r="J200">
        <f>VLOOKUP(A200,[2]SE_SUMMIT_2042_US40!$A:$Y,23,FALSE)</f>
        <v>1</v>
      </c>
      <c r="K200">
        <f>VLOOKUP(A200,[2]SE_SUMMIT_2042_US40!$A:$Y,24,FALSE)</f>
        <v>0</v>
      </c>
      <c r="L200">
        <f>VLOOKUP(A200,[2]SE_SUMMIT_2042_US40!$A:$Y,25,FALSE)</f>
        <v>0</v>
      </c>
      <c r="M200">
        <f>VLOOKUP(A200,[2]SE_SUMMIT_2042_US40!$A:$Z,26,FALSE)</f>
        <v>0</v>
      </c>
      <c r="N200">
        <f>VLOOKUP(A200,[3]SE_SUMMIT_2050_US40_Richardson_!$A:$Y,23,FALSE)</f>
        <v>1</v>
      </c>
      <c r="O200">
        <f>VLOOKUP(A200,[3]SE_SUMMIT_2050_US40_Richardson_!$A:$Y,24,FALSE)</f>
        <v>0</v>
      </c>
      <c r="P200">
        <f>VLOOKUP(A200,[3]SE_SUMMIT_2050_US40_Richardson_!$A:$Y,25,FALSE)</f>
        <v>0</v>
      </c>
      <c r="Q200">
        <f>VLOOKUP(A200,[3]SE_SUMMIT_2050_US40_Richardson_!$A:$Z,26,FALSE)</f>
        <v>0</v>
      </c>
      <c r="R200">
        <f t="shared" si="12"/>
        <v>0</v>
      </c>
      <c r="S200">
        <f t="shared" si="13"/>
        <v>0</v>
      </c>
      <c r="T200">
        <f t="shared" si="14"/>
        <v>0</v>
      </c>
      <c r="U200">
        <f t="shared" si="15"/>
        <v>0</v>
      </c>
    </row>
    <row r="201" spans="1:21" x14ac:dyDescent="0.25">
      <c r="A201">
        <v>43200</v>
      </c>
      <c r="B201">
        <v>0</v>
      </c>
      <c r="C201">
        <v>0</v>
      </c>
      <c r="D201">
        <v>0</v>
      </c>
      <c r="E201">
        <v>0</v>
      </c>
      <c r="F201">
        <f>VLOOKUP(A201,[1]SE_SUMMIT_2032_US40!$A:$Y,23,FALSE)</f>
        <v>0</v>
      </c>
      <c r="G201">
        <f>VLOOKUP(A201,[1]SE_SUMMIT_2032_US40!$A:$Y,24,FALSE)</f>
        <v>0</v>
      </c>
      <c r="H201">
        <f>VLOOKUP(A201,[1]SE_SUMMIT_2032_US40!$A:$Y,25,FALSE)</f>
        <v>0</v>
      </c>
      <c r="I201">
        <f>VLOOKUP(A201,[1]SE_SUMMIT_2032_US40!$A:$Z,26,FALSE)</f>
        <v>0</v>
      </c>
      <c r="J201">
        <f>VLOOKUP(A201,[2]SE_SUMMIT_2042_US40!$A:$Y,23,FALSE)</f>
        <v>0</v>
      </c>
      <c r="K201">
        <f>VLOOKUP(A201,[2]SE_SUMMIT_2042_US40!$A:$Y,24,FALSE)</f>
        <v>0</v>
      </c>
      <c r="L201">
        <f>VLOOKUP(A201,[2]SE_SUMMIT_2042_US40!$A:$Y,25,FALSE)</f>
        <v>0</v>
      </c>
      <c r="M201">
        <f>VLOOKUP(A201,[2]SE_SUMMIT_2042_US40!$A:$Z,26,FALSE)</f>
        <v>0</v>
      </c>
      <c r="N201">
        <f>VLOOKUP(A201,[3]SE_SUMMIT_2050_US40_Richardson_!$A:$Y,23,FALSE)</f>
        <v>0</v>
      </c>
      <c r="O201">
        <f>VLOOKUP(A201,[3]SE_SUMMIT_2050_US40_Richardson_!$A:$Y,24,FALSE)</f>
        <v>0</v>
      </c>
      <c r="P201">
        <f>VLOOKUP(A201,[3]SE_SUMMIT_2050_US40_Richardson_!$A:$Y,25,FALSE)</f>
        <v>0</v>
      </c>
      <c r="Q201">
        <f>VLOOKUP(A201,[3]SE_SUMMIT_2050_US40_Richardson_!$A:$Z,26,FALSE)</f>
        <v>0</v>
      </c>
      <c r="R201">
        <f t="shared" si="12"/>
        <v>0</v>
      </c>
      <c r="S201">
        <f t="shared" si="13"/>
        <v>0</v>
      </c>
      <c r="T201">
        <f t="shared" si="14"/>
        <v>0</v>
      </c>
      <c r="U201">
        <f t="shared" si="15"/>
        <v>0</v>
      </c>
    </row>
    <row r="202" spans="1:21" x14ac:dyDescent="0.25">
      <c r="A202">
        <v>43201</v>
      </c>
      <c r="B202">
        <v>11</v>
      </c>
      <c r="C202">
        <v>0</v>
      </c>
      <c r="D202">
        <v>0</v>
      </c>
      <c r="E202">
        <v>0</v>
      </c>
      <c r="F202">
        <f>VLOOKUP(A202,[1]SE_SUMMIT_2032_US40!$A:$Y,23,FALSE)</f>
        <v>11</v>
      </c>
      <c r="G202">
        <f>VLOOKUP(A202,[1]SE_SUMMIT_2032_US40!$A:$Y,24,FALSE)</f>
        <v>0</v>
      </c>
      <c r="H202">
        <f>VLOOKUP(A202,[1]SE_SUMMIT_2032_US40!$A:$Y,25,FALSE)</f>
        <v>0</v>
      </c>
      <c r="I202">
        <f>VLOOKUP(A202,[1]SE_SUMMIT_2032_US40!$A:$Z,26,FALSE)</f>
        <v>0</v>
      </c>
      <c r="J202">
        <f>VLOOKUP(A202,[2]SE_SUMMIT_2042_US40!$A:$Y,23,FALSE)</f>
        <v>11</v>
      </c>
      <c r="K202">
        <f>VLOOKUP(A202,[2]SE_SUMMIT_2042_US40!$A:$Y,24,FALSE)</f>
        <v>0</v>
      </c>
      <c r="L202">
        <f>VLOOKUP(A202,[2]SE_SUMMIT_2042_US40!$A:$Y,25,FALSE)</f>
        <v>0</v>
      </c>
      <c r="M202">
        <f>VLOOKUP(A202,[2]SE_SUMMIT_2042_US40!$A:$Z,26,FALSE)</f>
        <v>0</v>
      </c>
      <c r="N202">
        <f>VLOOKUP(A202,[3]SE_SUMMIT_2050_US40_Richardson_!$A:$Y,23,FALSE)</f>
        <v>11</v>
      </c>
      <c r="O202">
        <f>VLOOKUP(A202,[3]SE_SUMMIT_2050_US40_Richardson_!$A:$Y,24,FALSE)</f>
        <v>0</v>
      </c>
      <c r="P202">
        <f>VLOOKUP(A202,[3]SE_SUMMIT_2050_US40_Richardson_!$A:$Y,25,FALSE)</f>
        <v>0</v>
      </c>
      <c r="Q202">
        <f>VLOOKUP(A202,[3]SE_SUMMIT_2050_US40_Richardson_!$A:$Z,26,FALSE)</f>
        <v>0</v>
      </c>
      <c r="R202">
        <f t="shared" si="12"/>
        <v>0</v>
      </c>
      <c r="S202">
        <f t="shared" si="13"/>
        <v>0</v>
      </c>
      <c r="T202">
        <f t="shared" si="14"/>
        <v>0</v>
      </c>
      <c r="U202">
        <f t="shared" si="15"/>
        <v>0</v>
      </c>
    </row>
    <row r="203" spans="1:21" x14ac:dyDescent="0.25">
      <c r="A203">
        <v>43202</v>
      </c>
      <c r="B203">
        <v>7</v>
      </c>
      <c r="C203">
        <v>0</v>
      </c>
      <c r="D203">
        <v>0</v>
      </c>
      <c r="E203">
        <v>0</v>
      </c>
      <c r="F203">
        <f>VLOOKUP(A203,[1]SE_SUMMIT_2032_US40!$A:$Y,23,FALSE)</f>
        <v>7</v>
      </c>
      <c r="G203">
        <f>VLOOKUP(A203,[1]SE_SUMMIT_2032_US40!$A:$Y,24,FALSE)</f>
        <v>0</v>
      </c>
      <c r="H203">
        <f>VLOOKUP(A203,[1]SE_SUMMIT_2032_US40!$A:$Y,25,FALSE)</f>
        <v>0</v>
      </c>
      <c r="I203">
        <f>VLOOKUP(A203,[1]SE_SUMMIT_2032_US40!$A:$Z,26,FALSE)</f>
        <v>0</v>
      </c>
      <c r="J203">
        <f>VLOOKUP(A203,[2]SE_SUMMIT_2042_US40!$A:$Y,23,FALSE)</f>
        <v>7</v>
      </c>
      <c r="K203">
        <f>VLOOKUP(A203,[2]SE_SUMMIT_2042_US40!$A:$Y,24,FALSE)</f>
        <v>0</v>
      </c>
      <c r="L203">
        <f>VLOOKUP(A203,[2]SE_SUMMIT_2042_US40!$A:$Y,25,FALSE)</f>
        <v>0</v>
      </c>
      <c r="M203">
        <f>VLOOKUP(A203,[2]SE_SUMMIT_2042_US40!$A:$Z,26,FALSE)</f>
        <v>0</v>
      </c>
      <c r="N203">
        <f>VLOOKUP(A203,[3]SE_SUMMIT_2050_US40_Richardson_!$A:$Y,23,FALSE)</f>
        <v>7</v>
      </c>
      <c r="O203">
        <f>VLOOKUP(A203,[3]SE_SUMMIT_2050_US40_Richardson_!$A:$Y,24,FALSE)</f>
        <v>0</v>
      </c>
      <c r="P203">
        <f>VLOOKUP(A203,[3]SE_SUMMIT_2050_US40_Richardson_!$A:$Y,25,FALSE)</f>
        <v>0</v>
      </c>
      <c r="Q203">
        <f>VLOOKUP(A203,[3]SE_SUMMIT_2050_US40_Richardson_!$A:$Z,26,FALSE)</f>
        <v>0</v>
      </c>
      <c r="R203">
        <f t="shared" si="12"/>
        <v>0</v>
      </c>
      <c r="S203">
        <f t="shared" si="13"/>
        <v>0</v>
      </c>
      <c r="T203">
        <f t="shared" si="14"/>
        <v>0</v>
      </c>
      <c r="U203">
        <f t="shared" si="15"/>
        <v>0</v>
      </c>
    </row>
    <row r="204" spans="1:21" x14ac:dyDescent="0.25">
      <c r="A204">
        <v>43203</v>
      </c>
      <c r="B204">
        <v>8</v>
      </c>
      <c r="C204">
        <v>0</v>
      </c>
      <c r="D204">
        <v>0</v>
      </c>
      <c r="E204">
        <v>0</v>
      </c>
      <c r="F204">
        <f>VLOOKUP(A204,[1]SE_SUMMIT_2032_US40!$A:$Y,23,FALSE)</f>
        <v>8</v>
      </c>
      <c r="G204">
        <f>VLOOKUP(A204,[1]SE_SUMMIT_2032_US40!$A:$Y,24,FALSE)</f>
        <v>0</v>
      </c>
      <c r="H204">
        <f>VLOOKUP(A204,[1]SE_SUMMIT_2032_US40!$A:$Y,25,FALSE)</f>
        <v>0</v>
      </c>
      <c r="I204">
        <f>VLOOKUP(A204,[1]SE_SUMMIT_2032_US40!$A:$Z,26,FALSE)</f>
        <v>0</v>
      </c>
      <c r="J204">
        <f>VLOOKUP(A204,[2]SE_SUMMIT_2042_US40!$A:$Y,23,FALSE)</f>
        <v>8</v>
      </c>
      <c r="K204">
        <f>VLOOKUP(A204,[2]SE_SUMMIT_2042_US40!$A:$Y,24,FALSE)</f>
        <v>0</v>
      </c>
      <c r="L204">
        <f>VLOOKUP(A204,[2]SE_SUMMIT_2042_US40!$A:$Y,25,FALSE)</f>
        <v>0</v>
      </c>
      <c r="M204">
        <f>VLOOKUP(A204,[2]SE_SUMMIT_2042_US40!$A:$Z,26,FALSE)</f>
        <v>0</v>
      </c>
      <c r="N204">
        <f>VLOOKUP(A204,[3]SE_SUMMIT_2050_US40_Richardson_!$A:$Y,23,FALSE)</f>
        <v>8</v>
      </c>
      <c r="O204">
        <f>VLOOKUP(A204,[3]SE_SUMMIT_2050_US40_Richardson_!$A:$Y,24,FALSE)</f>
        <v>0</v>
      </c>
      <c r="P204">
        <f>VLOOKUP(A204,[3]SE_SUMMIT_2050_US40_Richardson_!$A:$Y,25,FALSE)</f>
        <v>0</v>
      </c>
      <c r="Q204">
        <f>VLOOKUP(A204,[3]SE_SUMMIT_2050_US40_Richardson_!$A:$Z,26,FALSE)</f>
        <v>0</v>
      </c>
      <c r="R204">
        <f t="shared" si="12"/>
        <v>0</v>
      </c>
      <c r="S204">
        <f t="shared" si="13"/>
        <v>0</v>
      </c>
      <c r="T204">
        <f t="shared" si="14"/>
        <v>0</v>
      </c>
      <c r="U204">
        <f t="shared" si="15"/>
        <v>0</v>
      </c>
    </row>
    <row r="205" spans="1:21" x14ac:dyDescent="0.25">
      <c r="A205">
        <v>43204</v>
      </c>
      <c r="B205">
        <v>6</v>
      </c>
      <c r="C205">
        <v>0</v>
      </c>
      <c r="D205">
        <v>0</v>
      </c>
      <c r="E205">
        <v>0</v>
      </c>
      <c r="F205">
        <f>VLOOKUP(A205,[1]SE_SUMMIT_2032_US40!$A:$Y,23,FALSE)</f>
        <v>6</v>
      </c>
      <c r="G205">
        <f>VLOOKUP(A205,[1]SE_SUMMIT_2032_US40!$A:$Y,24,FALSE)</f>
        <v>0</v>
      </c>
      <c r="H205">
        <f>VLOOKUP(A205,[1]SE_SUMMIT_2032_US40!$A:$Y,25,FALSE)</f>
        <v>0</v>
      </c>
      <c r="I205">
        <f>VLOOKUP(A205,[1]SE_SUMMIT_2032_US40!$A:$Z,26,FALSE)</f>
        <v>0</v>
      </c>
      <c r="J205">
        <f>VLOOKUP(A205,[2]SE_SUMMIT_2042_US40!$A:$Y,23,FALSE)</f>
        <v>6</v>
      </c>
      <c r="K205">
        <f>VLOOKUP(A205,[2]SE_SUMMIT_2042_US40!$A:$Y,24,FALSE)</f>
        <v>0</v>
      </c>
      <c r="L205">
        <f>VLOOKUP(A205,[2]SE_SUMMIT_2042_US40!$A:$Y,25,FALSE)</f>
        <v>0</v>
      </c>
      <c r="M205">
        <f>VLOOKUP(A205,[2]SE_SUMMIT_2042_US40!$A:$Z,26,FALSE)</f>
        <v>0</v>
      </c>
      <c r="N205">
        <f>VLOOKUP(A205,[3]SE_SUMMIT_2050_US40_Richardson_!$A:$Y,23,FALSE)</f>
        <v>6</v>
      </c>
      <c r="O205">
        <f>VLOOKUP(A205,[3]SE_SUMMIT_2050_US40_Richardson_!$A:$Y,24,FALSE)</f>
        <v>0</v>
      </c>
      <c r="P205">
        <f>VLOOKUP(A205,[3]SE_SUMMIT_2050_US40_Richardson_!$A:$Y,25,FALSE)</f>
        <v>0</v>
      </c>
      <c r="Q205">
        <f>VLOOKUP(A205,[3]SE_SUMMIT_2050_US40_Richardson_!$A:$Z,26,FALSE)</f>
        <v>0</v>
      </c>
      <c r="R205">
        <f t="shared" si="12"/>
        <v>0</v>
      </c>
      <c r="S205">
        <f t="shared" si="13"/>
        <v>0</v>
      </c>
      <c r="T205">
        <f t="shared" si="14"/>
        <v>0</v>
      </c>
      <c r="U205">
        <f t="shared" si="15"/>
        <v>0</v>
      </c>
    </row>
    <row r="206" spans="1:21" x14ac:dyDescent="0.25">
      <c r="A206">
        <v>43205</v>
      </c>
      <c r="B206">
        <v>2</v>
      </c>
      <c r="C206">
        <v>0</v>
      </c>
      <c r="D206">
        <v>0</v>
      </c>
      <c r="E206">
        <v>0</v>
      </c>
      <c r="F206">
        <f>VLOOKUP(A206,[1]SE_SUMMIT_2032_US40!$A:$Y,23,FALSE)</f>
        <v>2</v>
      </c>
      <c r="G206">
        <f>VLOOKUP(A206,[1]SE_SUMMIT_2032_US40!$A:$Y,24,FALSE)</f>
        <v>0</v>
      </c>
      <c r="H206">
        <f>VLOOKUP(A206,[1]SE_SUMMIT_2032_US40!$A:$Y,25,FALSE)</f>
        <v>0</v>
      </c>
      <c r="I206">
        <f>VLOOKUP(A206,[1]SE_SUMMIT_2032_US40!$A:$Z,26,FALSE)</f>
        <v>0</v>
      </c>
      <c r="J206">
        <f>VLOOKUP(A206,[2]SE_SUMMIT_2042_US40!$A:$Y,23,FALSE)</f>
        <v>2</v>
      </c>
      <c r="K206">
        <f>VLOOKUP(A206,[2]SE_SUMMIT_2042_US40!$A:$Y,24,FALSE)</f>
        <v>0</v>
      </c>
      <c r="L206">
        <f>VLOOKUP(A206,[2]SE_SUMMIT_2042_US40!$A:$Y,25,FALSE)</f>
        <v>0</v>
      </c>
      <c r="M206">
        <f>VLOOKUP(A206,[2]SE_SUMMIT_2042_US40!$A:$Z,26,FALSE)</f>
        <v>0</v>
      </c>
      <c r="N206">
        <f>VLOOKUP(A206,[3]SE_SUMMIT_2050_US40_Richardson_!$A:$Y,23,FALSE)</f>
        <v>2</v>
      </c>
      <c r="O206">
        <f>VLOOKUP(A206,[3]SE_SUMMIT_2050_US40_Richardson_!$A:$Y,24,FALSE)</f>
        <v>0</v>
      </c>
      <c r="P206">
        <f>VLOOKUP(A206,[3]SE_SUMMIT_2050_US40_Richardson_!$A:$Y,25,FALSE)</f>
        <v>0</v>
      </c>
      <c r="Q206">
        <f>VLOOKUP(A206,[3]SE_SUMMIT_2050_US40_Richardson_!$A:$Z,26,FALSE)</f>
        <v>0</v>
      </c>
      <c r="R206">
        <f t="shared" si="12"/>
        <v>0</v>
      </c>
      <c r="S206">
        <f t="shared" si="13"/>
        <v>0</v>
      </c>
      <c r="T206">
        <f t="shared" si="14"/>
        <v>0</v>
      </c>
      <c r="U206">
        <f t="shared" si="15"/>
        <v>0</v>
      </c>
    </row>
    <row r="207" spans="1:21" x14ac:dyDescent="0.25">
      <c r="A207">
        <v>43206</v>
      </c>
      <c r="B207">
        <v>3</v>
      </c>
      <c r="C207">
        <v>0</v>
      </c>
      <c r="D207">
        <v>0</v>
      </c>
      <c r="E207">
        <v>0</v>
      </c>
      <c r="F207">
        <f>VLOOKUP(A207,[1]SE_SUMMIT_2032_US40!$A:$Y,23,FALSE)</f>
        <v>3</v>
      </c>
      <c r="G207">
        <f>VLOOKUP(A207,[1]SE_SUMMIT_2032_US40!$A:$Y,24,FALSE)</f>
        <v>0</v>
      </c>
      <c r="H207">
        <f>VLOOKUP(A207,[1]SE_SUMMIT_2032_US40!$A:$Y,25,FALSE)</f>
        <v>0</v>
      </c>
      <c r="I207">
        <f>VLOOKUP(A207,[1]SE_SUMMIT_2032_US40!$A:$Z,26,FALSE)</f>
        <v>0</v>
      </c>
      <c r="J207">
        <f>VLOOKUP(A207,[2]SE_SUMMIT_2042_US40!$A:$Y,23,FALSE)</f>
        <v>3</v>
      </c>
      <c r="K207">
        <f>VLOOKUP(A207,[2]SE_SUMMIT_2042_US40!$A:$Y,24,FALSE)</f>
        <v>0</v>
      </c>
      <c r="L207">
        <f>VLOOKUP(A207,[2]SE_SUMMIT_2042_US40!$A:$Y,25,FALSE)</f>
        <v>0</v>
      </c>
      <c r="M207">
        <f>VLOOKUP(A207,[2]SE_SUMMIT_2042_US40!$A:$Z,26,FALSE)</f>
        <v>0</v>
      </c>
      <c r="N207">
        <f>VLOOKUP(A207,[3]SE_SUMMIT_2050_US40_Richardson_!$A:$Y,23,FALSE)</f>
        <v>3</v>
      </c>
      <c r="O207">
        <f>VLOOKUP(A207,[3]SE_SUMMIT_2050_US40_Richardson_!$A:$Y,24,FALSE)</f>
        <v>0</v>
      </c>
      <c r="P207">
        <f>VLOOKUP(A207,[3]SE_SUMMIT_2050_US40_Richardson_!$A:$Y,25,FALSE)</f>
        <v>0</v>
      </c>
      <c r="Q207">
        <f>VLOOKUP(A207,[3]SE_SUMMIT_2050_US40_Richardson_!$A:$Z,26,FALSE)</f>
        <v>0</v>
      </c>
      <c r="R207">
        <f t="shared" si="12"/>
        <v>0</v>
      </c>
      <c r="S207">
        <f t="shared" si="13"/>
        <v>0</v>
      </c>
      <c r="T207">
        <f t="shared" si="14"/>
        <v>0</v>
      </c>
      <c r="U207">
        <f t="shared" si="15"/>
        <v>0</v>
      </c>
    </row>
    <row r="208" spans="1:21" x14ac:dyDescent="0.25">
      <c r="A208">
        <v>43207</v>
      </c>
      <c r="B208">
        <v>0</v>
      </c>
      <c r="C208">
        <v>317</v>
      </c>
      <c r="D208">
        <v>0</v>
      </c>
      <c r="E208">
        <v>0</v>
      </c>
      <c r="F208">
        <f>VLOOKUP(A208,[1]SE_SUMMIT_2032_US40!$A:$Y,23,FALSE)</f>
        <v>0</v>
      </c>
      <c r="G208">
        <f>VLOOKUP(A208,[1]SE_SUMMIT_2032_US40!$A:$Y,24,FALSE)</f>
        <v>317</v>
      </c>
      <c r="H208">
        <f>VLOOKUP(A208,[1]SE_SUMMIT_2032_US40!$A:$Y,25,FALSE)</f>
        <v>0</v>
      </c>
      <c r="I208">
        <f>VLOOKUP(A208,[1]SE_SUMMIT_2032_US40!$A:$Z,26,FALSE)</f>
        <v>0</v>
      </c>
      <c r="J208">
        <f>VLOOKUP(A208,[2]SE_SUMMIT_2042_US40!$A:$Y,23,FALSE)</f>
        <v>0</v>
      </c>
      <c r="K208">
        <f>VLOOKUP(A208,[2]SE_SUMMIT_2042_US40!$A:$Y,24,FALSE)</f>
        <v>317</v>
      </c>
      <c r="L208">
        <f>VLOOKUP(A208,[2]SE_SUMMIT_2042_US40!$A:$Y,25,FALSE)</f>
        <v>0</v>
      </c>
      <c r="M208">
        <f>VLOOKUP(A208,[2]SE_SUMMIT_2042_US40!$A:$Z,26,FALSE)</f>
        <v>0</v>
      </c>
      <c r="N208">
        <f>VLOOKUP(A208,[3]SE_SUMMIT_2050_US40_Richardson_!$A:$Y,23,FALSE)</f>
        <v>0</v>
      </c>
      <c r="O208">
        <f>VLOOKUP(A208,[3]SE_SUMMIT_2050_US40_Richardson_!$A:$Y,24,FALSE)</f>
        <v>317</v>
      </c>
      <c r="P208">
        <f>VLOOKUP(A208,[3]SE_SUMMIT_2050_US40_Richardson_!$A:$Y,25,FALSE)</f>
        <v>0</v>
      </c>
      <c r="Q208">
        <f>VLOOKUP(A208,[3]SE_SUMMIT_2050_US40_Richardson_!$A:$Z,26,FALSE)</f>
        <v>0</v>
      </c>
      <c r="R208">
        <f t="shared" si="12"/>
        <v>0</v>
      </c>
      <c r="S208">
        <f t="shared" si="13"/>
        <v>0</v>
      </c>
      <c r="T208">
        <f t="shared" si="14"/>
        <v>0</v>
      </c>
      <c r="U208">
        <f t="shared" si="15"/>
        <v>0</v>
      </c>
    </row>
    <row r="209" spans="1:21" x14ac:dyDescent="0.25">
      <c r="A209">
        <v>43208</v>
      </c>
      <c r="B209">
        <v>14</v>
      </c>
      <c r="C209">
        <v>0</v>
      </c>
      <c r="D209">
        <v>0</v>
      </c>
      <c r="E209">
        <v>0</v>
      </c>
      <c r="F209">
        <f>VLOOKUP(A209,[1]SE_SUMMIT_2032_US40!$A:$Y,23,FALSE)</f>
        <v>14</v>
      </c>
      <c r="G209">
        <f>VLOOKUP(A209,[1]SE_SUMMIT_2032_US40!$A:$Y,24,FALSE)</f>
        <v>0</v>
      </c>
      <c r="H209">
        <f>VLOOKUP(A209,[1]SE_SUMMIT_2032_US40!$A:$Y,25,FALSE)</f>
        <v>0</v>
      </c>
      <c r="I209">
        <f>VLOOKUP(A209,[1]SE_SUMMIT_2032_US40!$A:$Z,26,FALSE)</f>
        <v>0</v>
      </c>
      <c r="J209">
        <f>VLOOKUP(A209,[2]SE_SUMMIT_2042_US40!$A:$Y,23,FALSE)</f>
        <v>14</v>
      </c>
      <c r="K209">
        <f>VLOOKUP(A209,[2]SE_SUMMIT_2042_US40!$A:$Y,24,FALSE)</f>
        <v>0</v>
      </c>
      <c r="L209">
        <f>VLOOKUP(A209,[2]SE_SUMMIT_2042_US40!$A:$Y,25,FALSE)</f>
        <v>0</v>
      </c>
      <c r="M209">
        <f>VLOOKUP(A209,[2]SE_SUMMIT_2042_US40!$A:$Z,26,FALSE)</f>
        <v>0</v>
      </c>
      <c r="N209">
        <f>VLOOKUP(A209,[3]SE_SUMMIT_2050_US40_Richardson_!$A:$Y,23,FALSE)</f>
        <v>14</v>
      </c>
      <c r="O209">
        <f>VLOOKUP(A209,[3]SE_SUMMIT_2050_US40_Richardson_!$A:$Y,24,FALSE)</f>
        <v>0</v>
      </c>
      <c r="P209">
        <f>VLOOKUP(A209,[3]SE_SUMMIT_2050_US40_Richardson_!$A:$Y,25,FALSE)</f>
        <v>0</v>
      </c>
      <c r="Q209">
        <f>VLOOKUP(A209,[3]SE_SUMMIT_2050_US40_Richardson_!$A:$Z,26,FALSE)</f>
        <v>0</v>
      </c>
      <c r="R209">
        <f t="shared" si="12"/>
        <v>0</v>
      </c>
      <c r="S209">
        <f t="shared" si="13"/>
        <v>0</v>
      </c>
      <c r="T209">
        <f t="shared" si="14"/>
        <v>0</v>
      </c>
      <c r="U209">
        <f t="shared" si="15"/>
        <v>0</v>
      </c>
    </row>
    <row r="210" spans="1:21" x14ac:dyDescent="0.25">
      <c r="A210">
        <v>43209</v>
      </c>
      <c r="B210">
        <v>4</v>
      </c>
      <c r="C210">
        <v>0</v>
      </c>
      <c r="D210">
        <v>0</v>
      </c>
      <c r="E210">
        <v>0</v>
      </c>
      <c r="F210">
        <f>VLOOKUP(A210,[1]SE_SUMMIT_2032_US40!$A:$Y,23,FALSE)</f>
        <v>4</v>
      </c>
      <c r="G210">
        <f>VLOOKUP(A210,[1]SE_SUMMIT_2032_US40!$A:$Y,24,FALSE)</f>
        <v>0</v>
      </c>
      <c r="H210">
        <f>VLOOKUP(A210,[1]SE_SUMMIT_2032_US40!$A:$Y,25,FALSE)</f>
        <v>0</v>
      </c>
      <c r="I210">
        <f>VLOOKUP(A210,[1]SE_SUMMIT_2032_US40!$A:$Z,26,FALSE)</f>
        <v>0</v>
      </c>
      <c r="J210">
        <f>VLOOKUP(A210,[2]SE_SUMMIT_2042_US40!$A:$Y,23,FALSE)</f>
        <v>4</v>
      </c>
      <c r="K210">
        <f>VLOOKUP(A210,[2]SE_SUMMIT_2042_US40!$A:$Y,24,FALSE)</f>
        <v>0</v>
      </c>
      <c r="L210">
        <f>VLOOKUP(A210,[2]SE_SUMMIT_2042_US40!$A:$Y,25,FALSE)</f>
        <v>0</v>
      </c>
      <c r="M210">
        <f>VLOOKUP(A210,[2]SE_SUMMIT_2042_US40!$A:$Z,26,FALSE)</f>
        <v>0</v>
      </c>
      <c r="N210">
        <f>VLOOKUP(A210,[3]SE_SUMMIT_2050_US40_Richardson_!$A:$Y,23,FALSE)</f>
        <v>4</v>
      </c>
      <c r="O210">
        <f>VLOOKUP(A210,[3]SE_SUMMIT_2050_US40_Richardson_!$A:$Y,24,FALSE)</f>
        <v>0</v>
      </c>
      <c r="P210">
        <f>VLOOKUP(A210,[3]SE_SUMMIT_2050_US40_Richardson_!$A:$Y,25,FALSE)</f>
        <v>0</v>
      </c>
      <c r="Q210">
        <f>VLOOKUP(A210,[3]SE_SUMMIT_2050_US40_Richardson_!$A:$Z,26,FALSE)</f>
        <v>0</v>
      </c>
      <c r="R210">
        <f t="shared" si="12"/>
        <v>0</v>
      </c>
      <c r="S210">
        <f t="shared" si="13"/>
        <v>0</v>
      </c>
      <c r="T210">
        <f t="shared" si="14"/>
        <v>0</v>
      </c>
      <c r="U210">
        <f t="shared" si="15"/>
        <v>0</v>
      </c>
    </row>
    <row r="211" spans="1:21" x14ac:dyDescent="0.25">
      <c r="A211">
        <v>43210</v>
      </c>
      <c r="B211">
        <v>1</v>
      </c>
      <c r="C211">
        <v>0</v>
      </c>
      <c r="D211">
        <v>0</v>
      </c>
      <c r="E211">
        <v>0</v>
      </c>
      <c r="F211">
        <f>VLOOKUP(A211,[1]SE_SUMMIT_2032_US40!$A:$Y,23,FALSE)</f>
        <v>1</v>
      </c>
      <c r="G211">
        <f>VLOOKUP(A211,[1]SE_SUMMIT_2032_US40!$A:$Y,24,FALSE)</f>
        <v>0</v>
      </c>
      <c r="H211">
        <f>VLOOKUP(A211,[1]SE_SUMMIT_2032_US40!$A:$Y,25,FALSE)</f>
        <v>0</v>
      </c>
      <c r="I211">
        <f>VLOOKUP(A211,[1]SE_SUMMIT_2032_US40!$A:$Z,26,FALSE)</f>
        <v>0</v>
      </c>
      <c r="J211">
        <f>VLOOKUP(A211,[2]SE_SUMMIT_2042_US40!$A:$Y,23,FALSE)</f>
        <v>1</v>
      </c>
      <c r="K211">
        <f>VLOOKUP(A211,[2]SE_SUMMIT_2042_US40!$A:$Y,24,FALSE)</f>
        <v>0</v>
      </c>
      <c r="L211">
        <f>VLOOKUP(A211,[2]SE_SUMMIT_2042_US40!$A:$Y,25,FALSE)</f>
        <v>0</v>
      </c>
      <c r="M211">
        <f>VLOOKUP(A211,[2]SE_SUMMIT_2042_US40!$A:$Z,26,FALSE)</f>
        <v>0</v>
      </c>
      <c r="N211">
        <f>VLOOKUP(A211,[3]SE_SUMMIT_2050_US40_Richardson_!$A:$Y,23,FALSE)</f>
        <v>1</v>
      </c>
      <c r="O211">
        <f>VLOOKUP(A211,[3]SE_SUMMIT_2050_US40_Richardson_!$A:$Y,24,FALSE)</f>
        <v>0</v>
      </c>
      <c r="P211">
        <f>VLOOKUP(A211,[3]SE_SUMMIT_2050_US40_Richardson_!$A:$Y,25,FALSE)</f>
        <v>0</v>
      </c>
      <c r="Q211">
        <f>VLOOKUP(A211,[3]SE_SUMMIT_2050_US40_Richardson_!$A:$Z,26,FALSE)</f>
        <v>0</v>
      </c>
      <c r="R211">
        <f t="shared" si="12"/>
        <v>0</v>
      </c>
      <c r="S211">
        <f t="shared" si="13"/>
        <v>0</v>
      </c>
      <c r="T211">
        <f t="shared" si="14"/>
        <v>0</v>
      </c>
      <c r="U211">
        <f t="shared" si="15"/>
        <v>0</v>
      </c>
    </row>
    <row r="212" spans="1:21" x14ac:dyDescent="0.25">
      <c r="A212">
        <v>43211</v>
      </c>
      <c r="B212">
        <v>19</v>
      </c>
      <c r="C212">
        <v>0</v>
      </c>
      <c r="D212">
        <v>0</v>
      </c>
      <c r="E212">
        <v>0</v>
      </c>
      <c r="F212">
        <f>VLOOKUP(A212,[1]SE_SUMMIT_2032_US40!$A:$Y,23,FALSE)</f>
        <v>19</v>
      </c>
      <c r="G212">
        <f>VLOOKUP(A212,[1]SE_SUMMIT_2032_US40!$A:$Y,24,FALSE)</f>
        <v>0</v>
      </c>
      <c r="H212">
        <f>VLOOKUP(A212,[1]SE_SUMMIT_2032_US40!$A:$Y,25,FALSE)</f>
        <v>0</v>
      </c>
      <c r="I212">
        <f>VLOOKUP(A212,[1]SE_SUMMIT_2032_US40!$A:$Z,26,FALSE)</f>
        <v>0</v>
      </c>
      <c r="J212">
        <f>VLOOKUP(A212,[2]SE_SUMMIT_2042_US40!$A:$Y,23,FALSE)</f>
        <v>19</v>
      </c>
      <c r="K212">
        <f>VLOOKUP(A212,[2]SE_SUMMIT_2042_US40!$A:$Y,24,FALSE)</f>
        <v>0</v>
      </c>
      <c r="L212">
        <f>VLOOKUP(A212,[2]SE_SUMMIT_2042_US40!$A:$Y,25,FALSE)</f>
        <v>0</v>
      </c>
      <c r="M212">
        <f>VLOOKUP(A212,[2]SE_SUMMIT_2042_US40!$A:$Z,26,FALSE)</f>
        <v>0</v>
      </c>
      <c r="N212">
        <f>VLOOKUP(A212,[3]SE_SUMMIT_2050_US40_Richardson_!$A:$Y,23,FALSE)</f>
        <v>19</v>
      </c>
      <c r="O212">
        <f>VLOOKUP(A212,[3]SE_SUMMIT_2050_US40_Richardson_!$A:$Y,24,FALSE)</f>
        <v>0</v>
      </c>
      <c r="P212">
        <f>VLOOKUP(A212,[3]SE_SUMMIT_2050_US40_Richardson_!$A:$Y,25,FALSE)</f>
        <v>0</v>
      </c>
      <c r="Q212">
        <f>VLOOKUP(A212,[3]SE_SUMMIT_2050_US40_Richardson_!$A:$Z,26,FALSE)</f>
        <v>0</v>
      </c>
      <c r="R212">
        <f t="shared" si="12"/>
        <v>0</v>
      </c>
      <c r="S212">
        <f t="shared" si="13"/>
        <v>0</v>
      </c>
      <c r="T212">
        <f t="shared" si="14"/>
        <v>0</v>
      </c>
      <c r="U212">
        <f t="shared" si="15"/>
        <v>0</v>
      </c>
    </row>
    <row r="213" spans="1:21" x14ac:dyDescent="0.25">
      <c r="A213">
        <v>43212</v>
      </c>
      <c r="B213">
        <v>1</v>
      </c>
      <c r="C213">
        <v>0</v>
      </c>
      <c r="D213">
        <v>0</v>
      </c>
      <c r="E213">
        <v>0</v>
      </c>
      <c r="F213">
        <f>VLOOKUP(A213,[1]SE_SUMMIT_2032_US40!$A:$Y,23,FALSE)</f>
        <v>1</v>
      </c>
      <c r="G213">
        <f>VLOOKUP(A213,[1]SE_SUMMIT_2032_US40!$A:$Y,24,FALSE)</f>
        <v>0</v>
      </c>
      <c r="H213">
        <f>VLOOKUP(A213,[1]SE_SUMMIT_2032_US40!$A:$Y,25,FALSE)</f>
        <v>0</v>
      </c>
      <c r="I213">
        <f>VLOOKUP(A213,[1]SE_SUMMIT_2032_US40!$A:$Z,26,FALSE)</f>
        <v>0</v>
      </c>
      <c r="J213">
        <f>VLOOKUP(A213,[2]SE_SUMMIT_2042_US40!$A:$Y,23,FALSE)</f>
        <v>1</v>
      </c>
      <c r="K213">
        <f>VLOOKUP(A213,[2]SE_SUMMIT_2042_US40!$A:$Y,24,FALSE)</f>
        <v>0</v>
      </c>
      <c r="L213">
        <f>VLOOKUP(A213,[2]SE_SUMMIT_2042_US40!$A:$Y,25,FALSE)</f>
        <v>0</v>
      </c>
      <c r="M213">
        <f>VLOOKUP(A213,[2]SE_SUMMIT_2042_US40!$A:$Z,26,FALSE)</f>
        <v>0</v>
      </c>
      <c r="N213">
        <f>VLOOKUP(A213,[3]SE_SUMMIT_2050_US40_Richardson_!$A:$Y,23,FALSE)</f>
        <v>1</v>
      </c>
      <c r="O213">
        <f>VLOOKUP(A213,[3]SE_SUMMIT_2050_US40_Richardson_!$A:$Y,24,FALSE)</f>
        <v>0</v>
      </c>
      <c r="P213">
        <f>VLOOKUP(A213,[3]SE_SUMMIT_2050_US40_Richardson_!$A:$Y,25,FALSE)</f>
        <v>0</v>
      </c>
      <c r="Q213">
        <f>VLOOKUP(A213,[3]SE_SUMMIT_2050_US40_Richardson_!$A:$Z,26,FALSE)</f>
        <v>0</v>
      </c>
      <c r="R213">
        <f t="shared" si="12"/>
        <v>0</v>
      </c>
      <c r="S213">
        <f t="shared" si="13"/>
        <v>0</v>
      </c>
      <c r="T213">
        <f t="shared" si="14"/>
        <v>0</v>
      </c>
      <c r="U213">
        <f t="shared" si="15"/>
        <v>0</v>
      </c>
    </row>
    <row r="214" spans="1:21" x14ac:dyDescent="0.25">
      <c r="A214">
        <v>43213</v>
      </c>
      <c r="B214">
        <v>2</v>
      </c>
      <c r="C214">
        <v>0</v>
      </c>
      <c r="D214">
        <v>0</v>
      </c>
      <c r="E214">
        <v>0</v>
      </c>
      <c r="F214">
        <f>VLOOKUP(A214,[1]SE_SUMMIT_2032_US40!$A:$Y,23,FALSE)</f>
        <v>2</v>
      </c>
      <c r="G214">
        <f>VLOOKUP(A214,[1]SE_SUMMIT_2032_US40!$A:$Y,24,FALSE)</f>
        <v>0</v>
      </c>
      <c r="H214">
        <f>VLOOKUP(A214,[1]SE_SUMMIT_2032_US40!$A:$Y,25,FALSE)</f>
        <v>0</v>
      </c>
      <c r="I214">
        <f>VLOOKUP(A214,[1]SE_SUMMIT_2032_US40!$A:$Z,26,FALSE)</f>
        <v>0</v>
      </c>
      <c r="J214">
        <f>VLOOKUP(A214,[2]SE_SUMMIT_2042_US40!$A:$Y,23,FALSE)</f>
        <v>2</v>
      </c>
      <c r="K214">
        <f>VLOOKUP(A214,[2]SE_SUMMIT_2042_US40!$A:$Y,24,FALSE)</f>
        <v>0</v>
      </c>
      <c r="L214">
        <f>VLOOKUP(A214,[2]SE_SUMMIT_2042_US40!$A:$Y,25,FALSE)</f>
        <v>0</v>
      </c>
      <c r="M214">
        <f>VLOOKUP(A214,[2]SE_SUMMIT_2042_US40!$A:$Z,26,FALSE)</f>
        <v>0</v>
      </c>
      <c r="N214">
        <f>VLOOKUP(A214,[3]SE_SUMMIT_2050_US40_Richardson_!$A:$Y,23,FALSE)</f>
        <v>2</v>
      </c>
      <c r="O214">
        <f>VLOOKUP(A214,[3]SE_SUMMIT_2050_US40_Richardson_!$A:$Y,24,FALSE)</f>
        <v>0</v>
      </c>
      <c r="P214">
        <f>VLOOKUP(A214,[3]SE_SUMMIT_2050_US40_Richardson_!$A:$Y,25,FALSE)</f>
        <v>0</v>
      </c>
      <c r="Q214">
        <f>VLOOKUP(A214,[3]SE_SUMMIT_2050_US40_Richardson_!$A:$Z,26,FALSE)</f>
        <v>0</v>
      </c>
      <c r="R214">
        <f t="shared" si="12"/>
        <v>0</v>
      </c>
      <c r="S214">
        <f t="shared" si="13"/>
        <v>0</v>
      </c>
      <c r="T214">
        <f t="shared" si="14"/>
        <v>0</v>
      </c>
      <c r="U214">
        <f t="shared" si="15"/>
        <v>0</v>
      </c>
    </row>
    <row r="215" spans="1:21" x14ac:dyDescent="0.25">
      <c r="A215">
        <v>43214</v>
      </c>
      <c r="B215">
        <v>7</v>
      </c>
      <c r="C215">
        <v>0</v>
      </c>
      <c r="D215">
        <v>0</v>
      </c>
      <c r="E215">
        <v>0</v>
      </c>
      <c r="F215">
        <f>VLOOKUP(A215,[1]SE_SUMMIT_2032_US40!$A:$Y,23,FALSE)</f>
        <v>7</v>
      </c>
      <c r="G215">
        <f>VLOOKUP(A215,[1]SE_SUMMIT_2032_US40!$A:$Y,24,FALSE)</f>
        <v>0</v>
      </c>
      <c r="H215">
        <f>VLOOKUP(A215,[1]SE_SUMMIT_2032_US40!$A:$Y,25,FALSE)</f>
        <v>0</v>
      </c>
      <c r="I215">
        <f>VLOOKUP(A215,[1]SE_SUMMIT_2032_US40!$A:$Z,26,FALSE)</f>
        <v>0</v>
      </c>
      <c r="J215">
        <f>VLOOKUP(A215,[2]SE_SUMMIT_2042_US40!$A:$Y,23,FALSE)</f>
        <v>7</v>
      </c>
      <c r="K215">
        <f>VLOOKUP(A215,[2]SE_SUMMIT_2042_US40!$A:$Y,24,FALSE)</f>
        <v>0</v>
      </c>
      <c r="L215">
        <f>VLOOKUP(A215,[2]SE_SUMMIT_2042_US40!$A:$Y,25,FALSE)</f>
        <v>0</v>
      </c>
      <c r="M215">
        <f>VLOOKUP(A215,[2]SE_SUMMIT_2042_US40!$A:$Z,26,FALSE)</f>
        <v>0</v>
      </c>
      <c r="N215">
        <f>VLOOKUP(A215,[3]SE_SUMMIT_2050_US40_Richardson_!$A:$Y,23,FALSE)</f>
        <v>7</v>
      </c>
      <c r="O215">
        <f>VLOOKUP(A215,[3]SE_SUMMIT_2050_US40_Richardson_!$A:$Y,24,FALSE)</f>
        <v>0</v>
      </c>
      <c r="P215">
        <f>VLOOKUP(A215,[3]SE_SUMMIT_2050_US40_Richardson_!$A:$Y,25,FALSE)</f>
        <v>0</v>
      </c>
      <c r="Q215">
        <f>VLOOKUP(A215,[3]SE_SUMMIT_2050_US40_Richardson_!$A:$Z,26,FALSE)</f>
        <v>0</v>
      </c>
      <c r="R215">
        <f t="shared" si="12"/>
        <v>0</v>
      </c>
      <c r="S215">
        <f t="shared" si="13"/>
        <v>0</v>
      </c>
      <c r="T215">
        <f t="shared" si="14"/>
        <v>0</v>
      </c>
      <c r="U215">
        <f t="shared" si="15"/>
        <v>0</v>
      </c>
    </row>
    <row r="216" spans="1:21" x14ac:dyDescent="0.25">
      <c r="A216">
        <v>43215</v>
      </c>
      <c r="B216">
        <v>0</v>
      </c>
      <c r="C216">
        <v>71</v>
      </c>
      <c r="D216">
        <v>0</v>
      </c>
      <c r="E216">
        <v>0</v>
      </c>
      <c r="F216">
        <f>VLOOKUP(A216,[1]SE_SUMMIT_2032_US40!$A:$Y,23,FALSE)</f>
        <v>0</v>
      </c>
      <c r="G216">
        <f>VLOOKUP(A216,[1]SE_SUMMIT_2032_US40!$A:$Y,24,FALSE)</f>
        <v>71</v>
      </c>
      <c r="H216">
        <f>VLOOKUP(A216,[1]SE_SUMMIT_2032_US40!$A:$Y,25,FALSE)</f>
        <v>0</v>
      </c>
      <c r="I216">
        <f>VLOOKUP(A216,[1]SE_SUMMIT_2032_US40!$A:$Z,26,FALSE)</f>
        <v>0</v>
      </c>
      <c r="J216">
        <f>VLOOKUP(A216,[2]SE_SUMMIT_2042_US40!$A:$Y,23,FALSE)</f>
        <v>0</v>
      </c>
      <c r="K216">
        <f>VLOOKUP(A216,[2]SE_SUMMIT_2042_US40!$A:$Y,24,FALSE)</f>
        <v>71</v>
      </c>
      <c r="L216">
        <f>VLOOKUP(A216,[2]SE_SUMMIT_2042_US40!$A:$Y,25,FALSE)</f>
        <v>0</v>
      </c>
      <c r="M216">
        <f>VLOOKUP(A216,[2]SE_SUMMIT_2042_US40!$A:$Z,26,FALSE)</f>
        <v>0</v>
      </c>
      <c r="N216">
        <f>VLOOKUP(A216,[3]SE_SUMMIT_2050_US40_Richardson_!$A:$Y,23,FALSE)</f>
        <v>0</v>
      </c>
      <c r="O216">
        <f>VLOOKUP(A216,[3]SE_SUMMIT_2050_US40_Richardson_!$A:$Y,24,FALSE)</f>
        <v>71</v>
      </c>
      <c r="P216">
        <f>VLOOKUP(A216,[3]SE_SUMMIT_2050_US40_Richardson_!$A:$Y,25,FALSE)</f>
        <v>0</v>
      </c>
      <c r="Q216">
        <f>VLOOKUP(A216,[3]SE_SUMMIT_2050_US40_Richardson_!$A:$Z,26,FALSE)</f>
        <v>0</v>
      </c>
      <c r="R216">
        <f t="shared" si="12"/>
        <v>0</v>
      </c>
      <c r="S216">
        <f t="shared" si="13"/>
        <v>0</v>
      </c>
      <c r="T216">
        <f t="shared" si="14"/>
        <v>0</v>
      </c>
      <c r="U216">
        <f t="shared" si="15"/>
        <v>0</v>
      </c>
    </row>
    <row r="217" spans="1:21" x14ac:dyDescent="0.25">
      <c r="A217">
        <v>43216</v>
      </c>
      <c r="B217">
        <v>0</v>
      </c>
      <c r="C217">
        <v>0</v>
      </c>
      <c r="D217">
        <v>0</v>
      </c>
      <c r="E217">
        <v>0</v>
      </c>
      <c r="F217">
        <f>VLOOKUP(A217,[1]SE_SUMMIT_2032_US40!$A:$Y,23,FALSE)</f>
        <v>0</v>
      </c>
      <c r="G217">
        <f>VLOOKUP(A217,[1]SE_SUMMIT_2032_US40!$A:$Y,24,FALSE)</f>
        <v>0</v>
      </c>
      <c r="H217">
        <f>VLOOKUP(A217,[1]SE_SUMMIT_2032_US40!$A:$Y,25,FALSE)</f>
        <v>0</v>
      </c>
      <c r="I217">
        <f>VLOOKUP(A217,[1]SE_SUMMIT_2032_US40!$A:$Z,26,FALSE)</f>
        <v>0</v>
      </c>
      <c r="J217">
        <f>VLOOKUP(A217,[2]SE_SUMMIT_2042_US40!$A:$Y,23,FALSE)</f>
        <v>0</v>
      </c>
      <c r="K217">
        <f>VLOOKUP(A217,[2]SE_SUMMIT_2042_US40!$A:$Y,24,FALSE)</f>
        <v>0</v>
      </c>
      <c r="L217">
        <f>VLOOKUP(A217,[2]SE_SUMMIT_2042_US40!$A:$Y,25,FALSE)</f>
        <v>0</v>
      </c>
      <c r="M217">
        <f>VLOOKUP(A217,[2]SE_SUMMIT_2042_US40!$A:$Z,26,FALSE)</f>
        <v>0</v>
      </c>
      <c r="N217">
        <f>VLOOKUP(A217,[3]SE_SUMMIT_2050_US40_Richardson_!$A:$Y,23,FALSE)</f>
        <v>0</v>
      </c>
      <c r="O217">
        <f>VLOOKUP(A217,[3]SE_SUMMIT_2050_US40_Richardson_!$A:$Y,24,FALSE)</f>
        <v>0</v>
      </c>
      <c r="P217">
        <f>VLOOKUP(A217,[3]SE_SUMMIT_2050_US40_Richardson_!$A:$Y,25,FALSE)</f>
        <v>0</v>
      </c>
      <c r="Q217">
        <f>VLOOKUP(A217,[3]SE_SUMMIT_2050_US40_Richardson_!$A:$Z,26,FALSE)</f>
        <v>0</v>
      </c>
      <c r="R217">
        <f t="shared" si="12"/>
        <v>0</v>
      </c>
      <c r="S217">
        <f t="shared" si="13"/>
        <v>0</v>
      </c>
      <c r="T217">
        <f t="shared" si="14"/>
        <v>0</v>
      </c>
      <c r="U217">
        <f t="shared" si="15"/>
        <v>0</v>
      </c>
    </row>
    <row r="218" spans="1:21" x14ac:dyDescent="0.25">
      <c r="A218">
        <v>43217</v>
      </c>
      <c r="B218">
        <v>2</v>
      </c>
      <c r="C218">
        <v>0</v>
      </c>
      <c r="D218">
        <v>0</v>
      </c>
      <c r="E218">
        <v>0</v>
      </c>
      <c r="F218">
        <f>VLOOKUP(A218,[1]SE_SUMMIT_2032_US40!$A:$Y,23,FALSE)</f>
        <v>2</v>
      </c>
      <c r="G218">
        <f>VLOOKUP(A218,[1]SE_SUMMIT_2032_US40!$A:$Y,24,FALSE)</f>
        <v>0</v>
      </c>
      <c r="H218">
        <f>VLOOKUP(A218,[1]SE_SUMMIT_2032_US40!$A:$Y,25,FALSE)</f>
        <v>0</v>
      </c>
      <c r="I218">
        <f>VLOOKUP(A218,[1]SE_SUMMIT_2032_US40!$A:$Z,26,FALSE)</f>
        <v>0</v>
      </c>
      <c r="J218">
        <f>VLOOKUP(A218,[2]SE_SUMMIT_2042_US40!$A:$Y,23,FALSE)</f>
        <v>2</v>
      </c>
      <c r="K218">
        <f>VLOOKUP(A218,[2]SE_SUMMIT_2042_US40!$A:$Y,24,FALSE)</f>
        <v>0</v>
      </c>
      <c r="L218">
        <f>VLOOKUP(A218,[2]SE_SUMMIT_2042_US40!$A:$Y,25,FALSE)</f>
        <v>0</v>
      </c>
      <c r="M218">
        <f>VLOOKUP(A218,[2]SE_SUMMIT_2042_US40!$A:$Z,26,FALSE)</f>
        <v>0</v>
      </c>
      <c r="N218">
        <f>VLOOKUP(A218,[3]SE_SUMMIT_2050_US40_Richardson_!$A:$Y,23,FALSE)</f>
        <v>2</v>
      </c>
      <c r="O218">
        <f>VLOOKUP(A218,[3]SE_SUMMIT_2050_US40_Richardson_!$A:$Y,24,FALSE)</f>
        <v>0</v>
      </c>
      <c r="P218">
        <f>VLOOKUP(A218,[3]SE_SUMMIT_2050_US40_Richardson_!$A:$Y,25,FALSE)</f>
        <v>0</v>
      </c>
      <c r="Q218">
        <f>VLOOKUP(A218,[3]SE_SUMMIT_2050_US40_Richardson_!$A:$Z,26,FALSE)</f>
        <v>0</v>
      </c>
      <c r="R218">
        <f t="shared" si="12"/>
        <v>0</v>
      </c>
      <c r="S218">
        <f t="shared" si="13"/>
        <v>0</v>
      </c>
      <c r="T218">
        <f t="shared" si="14"/>
        <v>0</v>
      </c>
      <c r="U218">
        <f t="shared" si="15"/>
        <v>0</v>
      </c>
    </row>
    <row r="219" spans="1:21" x14ac:dyDescent="0.25">
      <c r="A219">
        <v>43218</v>
      </c>
      <c r="B219">
        <v>1</v>
      </c>
      <c r="C219">
        <v>0</v>
      </c>
      <c r="D219">
        <v>0</v>
      </c>
      <c r="E219">
        <v>0</v>
      </c>
      <c r="F219">
        <f>VLOOKUP(A219,[1]SE_SUMMIT_2032_US40!$A:$Y,23,FALSE)</f>
        <v>1</v>
      </c>
      <c r="G219">
        <f>VLOOKUP(A219,[1]SE_SUMMIT_2032_US40!$A:$Y,24,FALSE)</f>
        <v>0</v>
      </c>
      <c r="H219">
        <f>VLOOKUP(A219,[1]SE_SUMMIT_2032_US40!$A:$Y,25,FALSE)</f>
        <v>0</v>
      </c>
      <c r="I219">
        <f>VLOOKUP(A219,[1]SE_SUMMIT_2032_US40!$A:$Z,26,FALSE)</f>
        <v>0</v>
      </c>
      <c r="J219">
        <f>VLOOKUP(A219,[2]SE_SUMMIT_2042_US40!$A:$Y,23,FALSE)</f>
        <v>1</v>
      </c>
      <c r="K219">
        <f>VLOOKUP(A219,[2]SE_SUMMIT_2042_US40!$A:$Y,24,FALSE)</f>
        <v>0</v>
      </c>
      <c r="L219">
        <f>VLOOKUP(A219,[2]SE_SUMMIT_2042_US40!$A:$Y,25,FALSE)</f>
        <v>0</v>
      </c>
      <c r="M219">
        <f>VLOOKUP(A219,[2]SE_SUMMIT_2042_US40!$A:$Z,26,FALSE)</f>
        <v>0</v>
      </c>
      <c r="N219">
        <f>VLOOKUP(A219,[3]SE_SUMMIT_2050_US40_Richardson_!$A:$Y,23,FALSE)</f>
        <v>1</v>
      </c>
      <c r="O219">
        <f>VLOOKUP(A219,[3]SE_SUMMIT_2050_US40_Richardson_!$A:$Y,24,FALSE)</f>
        <v>0</v>
      </c>
      <c r="P219">
        <f>VLOOKUP(A219,[3]SE_SUMMIT_2050_US40_Richardson_!$A:$Y,25,FALSE)</f>
        <v>0</v>
      </c>
      <c r="Q219">
        <f>VLOOKUP(A219,[3]SE_SUMMIT_2050_US40_Richardson_!$A:$Z,26,FALSE)</f>
        <v>0</v>
      </c>
      <c r="R219">
        <f t="shared" si="12"/>
        <v>0</v>
      </c>
      <c r="S219">
        <f t="shared" si="13"/>
        <v>0</v>
      </c>
      <c r="T219">
        <f t="shared" si="14"/>
        <v>0</v>
      </c>
      <c r="U219">
        <f t="shared" si="15"/>
        <v>0</v>
      </c>
    </row>
    <row r="220" spans="1:21" x14ac:dyDescent="0.25">
      <c r="A220">
        <v>43219</v>
      </c>
      <c r="B220">
        <v>8</v>
      </c>
      <c r="C220">
        <v>5</v>
      </c>
      <c r="D220">
        <v>0</v>
      </c>
      <c r="E220">
        <v>0</v>
      </c>
      <c r="F220">
        <f>VLOOKUP(A220,[1]SE_SUMMIT_2032_US40!$A:$Y,23,FALSE)</f>
        <v>8</v>
      </c>
      <c r="G220">
        <f>VLOOKUP(A220,[1]SE_SUMMIT_2032_US40!$A:$Y,24,FALSE)</f>
        <v>5</v>
      </c>
      <c r="H220">
        <f>VLOOKUP(A220,[1]SE_SUMMIT_2032_US40!$A:$Y,25,FALSE)</f>
        <v>0</v>
      </c>
      <c r="I220">
        <f>VLOOKUP(A220,[1]SE_SUMMIT_2032_US40!$A:$Z,26,FALSE)</f>
        <v>0</v>
      </c>
      <c r="J220">
        <f>VLOOKUP(A220,[2]SE_SUMMIT_2042_US40!$A:$Y,23,FALSE)</f>
        <v>8</v>
      </c>
      <c r="K220">
        <f>VLOOKUP(A220,[2]SE_SUMMIT_2042_US40!$A:$Y,24,FALSE)</f>
        <v>5</v>
      </c>
      <c r="L220">
        <f>VLOOKUP(A220,[2]SE_SUMMIT_2042_US40!$A:$Y,25,FALSE)</f>
        <v>0</v>
      </c>
      <c r="M220">
        <f>VLOOKUP(A220,[2]SE_SUMMIT_2042_US40!$A:$Z,26,FALSE)</f>
        <v>0</v>
      </c>
      <c r="N220">
        <f>VLOOKUP(A220,[3]SE_SUMMIT_2050_US40_Richardson_!$A:$Y,23,FALSE)</f>
        <v>8</v>
      </c>
      <c r="O220">
        <f>VLOOKUP(A220,[3]SE_SUMMIT_2050_US40_Richardson_!$A:$Y,24,FALSE)</f>
        <v>5</v>
      </c>
      <c r="P220">
        <f>VLOOKUP(A220,[3]SE_SUMMIT_2050_US40_Richardson_!$A:$Y,25,FALSE)</f>
        <v>0</v>
      </c>
      <c r="Q220">
        <f>VLOOKUP(A220,[3]SE_SUMMIT_2050_US40_Richardson_!$A:$Z,26,FALSE)</f>
        <v>0</v>
      </c>
      <c r="R220">
        <f t="shared" si="12"/>
        <v>0</v>
      </c>
      <c r="S220">
        <f t="shared" si="13"/>
        <v>0</v>
      </c>
      <c r="T220">
        <f t="shared" si="14"/>
        <v>0</v>
      </c>
      <c r="U220">
        <f t="shared" si="15"/>
        <v>0</v>
      </c>
    </row>
    <row r="221" spans="1:21" x14ac:dyDescent="0.25">
      <c r="A221">
        <v>43220</v>
      </c>
      <c r="B221">
        <v>10</v>
      </c>
      <c r="C221">
        <v>120</v>
      </c>
      <c r="D221">
        <v>0</v>
      </c>
      <c r="E221">
        <v>0</v>
      </c>
      <c r="F221">
        <f>VLOOKUP(A221,[1]SE_SUMMIT_2032_US40!$A:$Y,23,FALSE)</f>
        <v>10</v>
      </c>
      <c r="G221">
        <f>VLOOKUP(A221,[1]SE_SUMMIT_2032_US40!$A:$Y,24,FALSE)</f>
        <v>120</v>
      </c>
      <c r="H221">
        <f>VLOOKUP(A221,[1]SE_SUMMIT_2032_US40!$A:$Y,25,FALSE)</f>
        <v>0</v>
      </c>
      <c r="I221">
        <f>VLOOKUP(A221,[1]SE_SUMMIT_2032_US40!$A:$Z,26,FALSE)</f>
        <v>0</v>
      </c>
      <c r="J221">
        <f>VLOOKUP(A221,[2]SE_SUMMIT_2042_US40!$A:$Y,23,FALSE)</f>
        <v>10</v>
      </c>
      <c r="K221">
        <f>VLOOKUP(A221,[2]SE_SUMMIT_2042_US40!$A:$Y,24,FALSE)</f>
        <v>120</v>
      </c>
      <c r="L221">
        <f>VLOOKUP(A221,[2]SE_SUMMIT_2042_US40!$A:$Y,25,FALSE)</f>
        <v>0</v>
      </c>
      <c r="M221">
        <f>VLOOKUP(A221,[2]SE_SUMMIT_2042_US40!$A:$Z,26,FALSE)</f>
        <v>0</v>
      </c>
      <c r="N221">
        <f>VLOOKUP(A221,[3]SE_SUMMIT_2050_US40_Richardson_!$A:$Y,23,FALSE)</f>
        <v>10</v>
      </c>
      <c r="O221">
        <f>VLOOKUP(A221,[3]SE_SUMMIT_2050_US40_Richardson_!$A:$Y,24,FALSE)</f>
        <v>120</v>
      </c>
      <c r="P221">
        <f>VLOOKUP(A221,[3]SE_SUMMIT_2050_US40_Richardson_!$A:$Y,25,FALSE)</f>
        <v>0</v>
      </c>
      <c r="Q221">
        <f>VLOOKUP(A221,[3]SE_SUMMIT_2050_US40_Richardson_!$A:$Z,26,FALSE)</f>
        <v>0</v>
      </c>
      <c r="R221">
        <f t="shared" si="12"/>
        <v>0</v>
      </c>
      <c r="S221">
        <f t="shared" si="13"/>
        <v>0</v>
      </c>
      <c r="T221">
        <f t="shared" si="14"/>
        <v>0</v>
      </c>
      <c r="U221">
        <f t="shared" si="15"/>
        <v>0</v>
      </c>
    </row>
    <row r="222" spans="1:21" x14ac:dyDescent="0.25">
      <c r="A222">
        <v>43221</v>
      </c>
      <c r="B222">
        <v>80</v>
      </c>
      <c r="C222">
        <v>604</v>
      </c>
      <c r="D222">
        <v>0</v>
      </c>
      <c r="E222">
        <v>0</v>
      </c>
      <c r="F222">
        <f>VLOOKUP(A222,[1]SE_SUMMIT_2032_US40!$A:$Y,23,FALSE)</f>
        <v>80</v>
      </c>
      <c r="G222">
        <f>VLOOKUP(A222,[1]SE_SUMMIT_2032_US40!$A:$Y,24,FALSE)</f>
        <v>604</v>
      </c>
      <c r="H222">
        <f>VLOOKUP(A222,[1]SE_SUMMIT_2032_US40!$A:$Y,25,FALSE)</f>
        <v>0</v>
      </c>
      <c r="I222">
        <f>VLOOKUP(A222,[1]SE_SUMMIT_2032_US40!$A:$Z,26,FALSE)</f>
        <v>0</v>
      </c>
      <c r="J222">
        <f>VLOOKUP(A222,[2]SE_SUMMIT_2042_US40!$A:$Y,23,FALSE)</f>
        <v>80</v>
      </c>
      <c r="K222">
        <f>VLOOKUP(A222,[2]SE_SUMMIT_2042_US40!$A:$Y,24,FALSE)</f>
        <v>604</v>
      </c>
      <c r="L222">
        <f>VLOOKUP(A222,[2]SE_SUMMIT_2042_US40!$A:$Y,25,FALSE)</f>
        <v>0</v>
      </c>
      <c r="M222">
        <f>VLOOKUP(A222,[2]SE_SUMMIT_2042_US40!$A:$Z,26,FALSE)</f>
        <v>0</v>
      </c>
      <c r="N222">
        <f>VLOOKUP(A222,[3]SE_SUMMIT_2050_US40_Richardson_!$A:$Y,23,FALSE)</f>
        <v>80</v>
      </c>
      <c r="O222">
        <f>VLOOKUP(A222,[3]SE_SUMMIT_2050_US40_Richardson_!$A:$Y,24,FALSE)</f>
        <v>604</v>
      </c>
      <c r="P222">
        <f>VLOOKUP(A222,[3]SE_SUMMIT_2050_US40_Richardson_!$A:$Y,25,FALSE)</f>
        <v>0</v>
      </c>
      <c r="Q222">
        <f>VLOOKUP(A222,[3]SE_SUMMIT_2050_US40_Richardson_!$A:$Z,26,FALSE)</f>
        <v>0</v>
      </c>
      <c r="R222">
        <f t="shared" si="12"/>
        <v>0</v>
      </c>
      <c r="S222">
        <f t="shared" si="13"/>
        <v>0</v>
      </c>
      <c r="T222">
        <f t="shared" si="14"/>
        <v>0</v>
      </c>
      <c r="U222">
        <f t="shared" si="15"/>
        <v>0</v>
      </c>
    </row>
    <row r="223" spans="1:21" x14ac:dyDescent="0.25">
      <c r="A223">
        <v>43222</v>
      </c>
      <c r="B223">
        <v>0</v>
      </c>
      <c r="C223">
        <v>5</v>
      </c>
      <c r="D223">
        <v>0</v>
      </c>
      <c r="E223">
        <v>0</v>
      </c>
      <c r="F223">
        <f>VLOOKUP(A223,[1]SE_SUMMIT_2032_US40!$A:$Y,23,FALSE)</f>
        <v>0</v>
      </c>
      <c r="G223">
        <f>VLOOKUP(A223,[1]SE_SUMMIT_2032_US40!$A:$Y,24,FALSE)</f>
        <v>5</v>
      </c>
      <c r="H223">
        <f>VLOOKUP(A223,[1]SE_SUMMIT_2032_US40!$A:$Y,25,FALSE)</f>
        <v>0</v>
      </c>
      <c r="I223">
        <f>VLOOKUP(A223,[1]SE_SUMMIT_2032_US40!$A:$Z,26,FALSE)</f>
        <v>0</v>
      </c>
      <c r="J223">
        <f>VLOOKUP(A223,[2]SE_SUMMIT_2042_US40!$A:$Y,23,FALSE)</f>
        <v>0</v>
      </c>
      <c r="K223">
        <f>VLOOKUP(A223,[2]SE_SUMMIT_2042_US40!$A:$Y,24,FALSE)</f>
        <v>5</v>
      </c>
      <c r="L223">
        <f>VLOOKUP(A223,[2]SE_SUMMIT_2042_US40!$A:$Y,25,FALSE)</f>
        <v>0</v>
      </c>
      <c r="M223">
        <f>VLOOKUP(A223,[2]SE_SUMMIT_2042_US40!$A:$Z,26,FALSE)</f>
        <v>0</v>
      </c>
      <c r="N223">
        <f>VLOOKUP(A223,[3]SE_SUMMIT_2050_US40_Richardson_!$A:$Y,23,FALSE)</f>
        <v>0</v>
      </c>
      <c r="O223">
        <f>VLOOKUP(A223,[3]SE_SUMMIT_2050_US40_Richardson_!$A:$Y,24,FALSE)</f>
        <v>5</v>
      </c>
      <c r="P223">
        <f>VLOOKUP(A223,[3]SE_SUMMIT_2050_US40_Richardson_!$A:$Y,25,FALSE)</f>
        <v>0</v>
      </c>
      <c r="Q223">
        <f>VLOOKUP(A223,[3]SE_SUMMIT_2050_US40_Richardson_!$A:$Z,26,FALSE)</f>
        <v>0</v>
      </c>
      <c r="R223">
        <f t="shared" si="12"/>
        <v>0</v>
      </c>
      <c r="S223">
        <f t="shared" si="13"/>
        <v>0</v>
      </c>
      <c r="T223">
        <f t="shared" si="14"/>
        <v>0</v>
      </c>
      <c r="U223">
        <f t="shared" si="15"/>
        <v>0</v>
      </c>
    </row>
    <row r="224" spans="1:21" x14ac:dyDescent="0.25">
      <c r="A224">
        <v>43223</v>
      </c>
      <c r="B224">
        <v>0</v>
      </c>
      <c r="C224">
        <v>5</v>
      </c>
      <c r="D224">
        <v>0</v>
      </c>
      <c r="E224">
        <v>0</v>
      </c>
      <c r="F224">
        <f>VLOOKUP(A224,[1]SE_SUMMIT_2032_US40!$A:$Y,23,FALSE)</f>
        <v>0</v>
      </c>
      <c r="G224">
        <f>VLOOKUP(A224,[1]SE_SUMMIT_2032_US40!$A:$Y,24,FALSE)</f>
        <v>5</v>
      </c>
      <c r="H224">
        <f>VLOOKUP(A224,[1]SE_SUMMIT_2032_US40!$A:$Y,25,FALSE)</f>
        <v>0</v>
      </c>
      <c r="I224">
        <f>VLOOKUP(A224,[1]SE_SUMMIT_2032_US40!$A:$Z,26,FALSE)</f>
        <v>0</v>
      </c>
      <c r="J224">
        <f>VLOOKUP(A224,[2]SE_SUMMIT_2042_US40!$A:$Y,23,FALSE)</f>
        <v>0</v>
      </c>
      <c r="K224">
        <f>VLOOKUP(A224,[2]SE_SUMMIT_2042_US40!$A:$Y,24,FALSE)</f>
        <v>5</v>
      </c>
      <c r="L224">
        <f>VLOOKUP(A224,[2]SE_SUMMIT_2042_US40!$A:$Y,25,FALSE)</f>
        <v>0</v>
      </c>
      <c r="M224">
        <f>VLOOKUP(A224,[2]SE_SUMMIT_2042_US40!$A:$Z,26,FALSE)</f>
        <v>0</v>
      </c>
      <c r="N224">
        <f>VLOOKUP(A224,[3]SE_SUMMIT_2050_US40_Richardson_!$A:$Y,23,FALSE)</f>
        <v>0</v>
      </c>
      <c r="O224">
        <f>VLOOKUP(A224,[3]SE_SUMMIT_2050_US40_Richardson_!$A:$Y,24,FALSE)</f>
        <v>5</v>
      </c>
      <c r="P224">
        <f>VLOOKUP(A224,[3]SE_SUMMIT_2050_US40_Richardson_!$A:$Y,25,FALSE)</f>
        <v>0</v>
      </c>
      <c r="Q224">
        <f>VLOOKUP(A224,[3]SE_SUMMIT_2050_US40_Richardson_!$A:$Z,26,FALSE)</f>
        <v>0</v>
      </c>
      <c r="R224">
        <f t="shared" si="12"/>
        <v>0</v>
      </c>
      <c r="S224">
        <f t="shared" si="13"/>
        <v>0</v>
      </c>
      <c r="T224">
        <f t="shared" si="14"/>
        <v>0</v>
      </c>
      <c r="U224">
        <f t="shared" si="15"/>
        <v>0</v>
      </c>
    </row>
    <row r="225" spans="1:21" x14ac:dyDescent="0.25">
      <c r="A225">
        <v>43224</v>
      </c>
      <c r="B225">
        <v>0</v>
      </c>
      <c r="C225">
        <v>399</v>
      </c>
      <c r="D225">
        <v>0</v>
      </c>
      <c r="E225">
        <v>0</v>
      </c>
      <c r="F225">
        <f>VLOOKUP(A225,[1]SE_SUMMIT_2032_US40!$A:$Y,23,FALSE)</f>
        <v>0</v>
      </c>
      <c r="G225">
        <f>VLOOKUP(A225,[1]SE_SUMMIT_2032_US40!$A:$Y,24,FALSE)</f>
        <v>399</v>
      </c>
      <c r="H225">
        <f>VLOOKUP(A225,[1]SE_SUMMIT_2032_US40!$A:$Y,25,FALSE)</f>
        <v>0</v>
      </c>
      <c r="I225">
        <f>VLOOKUP(A225,[1]SE_SUMMIT_2032_US40!$A:$Z,26,FALSE)</f>
        <v>0</v>
      </c>
      <c r="J225">
        <f>VLOOKUP(A225,[2]SE_SUMMIT_2042_US40!$A:$Y,23,FALSE)</f>
        <v>0</v>
      </c>
      <c r="K225">
        <f>VLOOKUP(A225,[2]SE_SUMMIT_2042_US40!$A:$Y,24,FALSE)</f>
        <v>399</v>
      </c>
      <c r="L225">
        <f>VLOOKUP(A225,[2]SE_SUMMIT_2042_US40!$A:$Y,25,FALSE)</f>
        <v>0</v>
      </c>
      <c r="M225">
        <f>VLOOKUP(A225,[2]SE_SUMMIT_2042_US40!$A:$Z,26,FALSE)</f>
        <v>0</v>
      </c>
      <c r="N225">
        <f>VLOOKUP(A225,[3]SE_SUMMIT_2050_US40_Richardson_!$A:$Y,23,FALSE)</f>
        <v>0</v>
      </c>
      <c r="O225">
        <f>VLOOKUP(A225,[3]SE_SUMMIT_2050_US40_Richardson_!$A:$Y,24,FALSE)</f>
        <v>399</v>
      </c>
      <c r="P225">
        <f>VLOOKUP(A225,[3]SE_SUMMIT_2050_US40_Richardson_!$A:$Y,25,FALSE)</f>
        <v>0</v>
      </c>
      <c r="Q225">
        <f>VLOOKUP(A225,[3]SE_SUMMIT_2050_US40_Richardson_!$A:$Z,26,FALSE)</f>
        <v>0</v>
      </c>
      <c r="R225">
        <f t="shared" si="12"/>
        <v>0</v>
      </c>
      <c r="S225">
        <f t="shared" si="13"/>
        <v>0</v>
      </c>
      <c r="T225">
        <f t="shared" si="14"/>
        <v>0</v>
      </c>
      <c r="U225">
        <f t="shared" si="15"/>
        <v>0</v>
      </c>
    </row>
    <row r="226" spans="1:21" x14ac:dyDescent="0.25">
      <c r="A226">
        <v>43225</v>
      </c>
      <c r="B226">
        <v>0</v>
      </c>
      <c r="C226">
        <v>44</v>
      </c>
      <c r="D226">
        <v>0</v>
      </c>
      <c r="E226">
        <v>0</v>
      </c>
      <c r="F226">
        <f>VLOOKUP(A226,[1]SE_SUMMIT_2032_US40!$A:$Y,23,FALSE)</f>
        <v>0</v>
      </c>
      <c r="G226">
        <f>VLOOKUP(A226,[1]SE_SUMMIT_2032_US40!$A:$Y,24,FALSE)</f>
        <v>44</v>
      </c>
      <c r="H226">
        <f>VLOOKUP(A226,[1]SE_SUMMIT_2032_US40!$A:$Y,25,FALSE)</f>
        <v>0</v>
      </c>
      <c r="I226">
        <f>VLOOKUP(A226,[1]SE_SUMMIT_2032_US40!$A:$Z,26,FALSE)</f>
        <v>0</v>
      </c>
      <c r="J226">
        <f>VLOOKUP(A226,[2]SE_SUMMIT_2042_US40!$A:$Y,23,FALSE)</f>
        <v>0</v>
      </c>
      <c r="K226">
        <f>VLOOKUP(A226,[2]SE_SUMMIT_2042_US40!$A:$Y,24,FALSE)</f>
        <v>44</v>
      </c>
      <c r="L226">
        <f>VLOOKUP(A226,[2]SE_SUMMIT_2042_US40!$A:$Y,25,FALSE)</f>
        <v>0</v>
      </c>
      <c r="M226">
        <f>VLOOKUP(A226,[2]SE_SUMMIT_2042_US40!$A:$Z,26,FALSE)</f>
        <v>0</v>
      </c>
      <c r="N226">
        <f>VLOOKUP(A226,[3]SE_SUMMIT_2050_US40_Richardson_!$A:$Y,23,FALSE)</f>
        <v>0</v>
      </c>
      <c r="O226">
        <f>VLOOKUP(A226,[3]SE_SUMMIT_2050_US40_Richardson_!$A:$Y,24,FALSE)</f>
        <v>44</v>
      </c>
      <c r="P226">
        <f>VLOOKUP(A226,[3]SE_SUMMIT_2050_US40_Richardson_!$A:$Y,25,FALSE)</f>
        <v>0</v>
      </c>
      <c r="Q226">
        <f>VLOOKUP(A226,[3]SE_SUMMIT_2050_US40_Richardson_!$A:$Z,26,FALSE)</f>
        <v>0</v>
      </c>
      <c r="R226">
        <f t="shared" si="12"/>
        <v>0</v>
      </c>
      <c r="S226">
        <f t="shared" si="13"/>
        <v>0</v>
      </c>
      <c r="T226">
        <f t="shared" si="14"/>
        <v>0</v>
      </c>
      <c r="U226">
        <f t="shared" si="15"/>
        <v>0</v>
      </c>
    </row>
    <row r="227" spans="1:21" x14ac:dyDescent="0.25">
      <c r="A227">
        <v>43226</v>
      </c>
      <c r="B227">
        <v>0</v>
      </c>
      <c r="C227">
        <v>493</v>
      </c>
      <c r="D227">
        <v>0</v>
      </c>
      <c r="E227">
        <v>0</v>
      </c>
      <c r="F227">
        <f>VLOOKUP(A227,[1]SE_SUMMIT_2032_US40!$A:$Y,23,FALSE)</f>
        <v>0</v>
      </c>
      <c r="G227">
        <f>VLOOKUP(A227,[1]SE_SUMMIT_2032_US40!$A:$Y,24,FALSE)</f>
        <v>493</v>
      </c>
      <c r="H227">
        <f>VLOOKUP(A227,[1]SE_SUMMIT_2032_US40!$A:$Y,25,FALSE)</f>
        <v>0</v>
      </c>
      <c r="I227">
        <f>VLOOKUP(A227,[1]SE_SUMMIT_2032_US40!$A:$Z,26,FALSE)</f>
        <v>0</v>
      </c>
      <c r="J227">
        <f>VLOOKUP(A227,[2]SE_SUMMIT_2042_US40!$A:$Y,23,FALSE)</f>
        <v>0</v>
      </c>
      <c r="K227">
        <f>VLOOKUP(A227,[2]SE_SUMMIT_2042_US40!$A:$Y,24,FALSE)</f>
        <v>493</v>
      </c>
      <c r="L227">
        <f>VLOOKUP(A227,[2]SE_SUMMIT_2042_US40!$A:$Y,25,FALSE)</f>
        <v>0</v>
      </c>
      <c r="M227">
        <f>VLOOKUP(A227,[2]SE_SUMMIT_2042_US40!$A:$Z,26,FALSE)</f>
        <v>0</v>
      </c>
      <c r="N227">
        <f>VLOOKUP(A227,[3]SE_SUMMIT_2050_US40_Richardson_!$A:$Y,23,FALSE)</f>
        <v>0</v>
      </c>
      <c r="O227">
        <f>VLOOKUP(A227,[3]SE_SUMMIT_2050_US40_Richardson_!$A:$Y,24,FALSE)</f>
        <v>493</v>
      </c>
      <c r="P227">
        <f>VLOOKUP(A227,[3]SE_SUMMIT_2050_US40_Richardson_!$A:$Y,25,FALSE)</f>
        <v>0</v>
      </c>
      <c r="Q227">
        <f>VLOOKUP(A227,[3]SE_SUMMIT_2050_US40_Richardson_!$A:$Z,26,FALSE)</f>
        <v>0</v>
      </c>
      <c r="R227">
        <f t="shared" si="12"/>
        <v>0</v>
      </c>
      <c r="S227">
        <f t="shared" si="13"/>
        <v>0</v>
      </c>
      <c r="T227">
        <f t="shared" si="14"/>
        <v>0</v>
      </c>
      <c r="U227">
        <f t="shared" si="15"/>
        <v>0</v>
      </c>
    </row>
    <row r="228" spans="1:21" x14ac:dyDescent="0.25">
      <c r="A228">
        <v>43227</v>
      </c>
      <c r="B228">
        <v>0</v>
      </c>
      <c r="C228">
        <v>88</v>
      </c>
      <c r="D228">
        <v>0</v>
      </c>
      <c r="E228">
        <v>0</v>
      </c>
      <c r="F228">
        <f>VLOOKUP(A228,[1]SE_SUMMIT_2032_US40!$A:$Y,23,FALSE)</f>
        <v>0</v>
      </c>
      <c r="G228">
        <f>VLOOKUP(A228,[1]SE_SUMMIT_2032_US40!$A:$Y,24,FALSE)</f>
        <v>88</v>
      </c>
      <c r="H228">
        <f>VLOOKUP(A228,[1]SE_SUMMIT_2032_US40!$A:$Y,25,FALSE)</f>
        <v>0</v>
      </c>
      <c r="I228">
        <f>VLOOKUP(A228,[1]SE_SUMMIT_2032_US40!$A:$Z,26,FALSE)</f>
        <v>0</v>
      </c>
      <c r="J228">
        <f>VLOOKUP(A228,[2]SE_SUMMIT_2042_US40!$A:$Y,23,FALSE)</f>
        <v>0</v>
      </c>
      <c r="K228">
        <f>VLOOKUP(A228,[2]SE_SUMMIT_2042_US40!$A:$Y,24,FALSE)</f>
        <v>88</v>
      </c>
      <c r="L228">
        <f>VLOOKUP(A228,[2]SE_SUMMIT_2042_US40!$A:$Y,25,FALSE)</f>
        <v>0</v>
      </c>
      <c r="M228">
        <f>VLOOKUP(A228,[2]SE_SUMMIT_2042_US40!$A:$Z,26,FALSE)</f>
        <v>0</v>
      </c>
      <c r="N228">
        <f>VLOOKUP(A228,[3]SE_SUMMIT_2050_US40_Richardson_!$A:$Y,23,FALSE)</f>
        <v>0</v>
      </c>
      <c r="O228">
        <f>VLOOKUP(A228,[3]SE_SUMMIT_2050_US40_Richardson_!$A:$Y,24,FALSE)</f>
        <v>88</v>
      </c>
      <c r="P228">
        <f>VLOOKUP(A228,[3]SE_SUMMIT_2050_US40_Richardson_!$A:$Y,25,FALSE)</f>
        <v>0</v>
      </c>
      <c r="Q228">
        <f>VLOOKUP(A228,[3]SE_SUMMIT_2050_US40_Richardson_!$A:$Z,26,FALSE)</f>
        <v>0</v>
      </c>
      <c r="R228">
        <f t="shared" si="12"/>
        <v>0</v>
      </c>
      <c r="S228">
        <f t="shared" si="13"/>
        <v>0</v>
      </c>
      <c r="T228">
        <f t="shared" si="14"/>
        <v>0</v>
      </c>
      <c r="U228">
        <f t="shared" si="15"/>
        <v>0</v>
      </c>
    </row>
    <row r="229" spans="1:21" x14ac:dyDescent="0.25">
      <c r="A229">
        <v>43228</v>
      </c>
      <c r="B229">
        <v>0</v>
      </c>
      <c r="C229">
        <v>0</v>
      </c>
      <c r="D229">
        <v>0</v>
      </c>
      <c r="E229">
        <v>0</v>
      </c>
      <c r="F229">
        <f>VLOOKUP(A229,[1]SE_SUMMIT_2032_US40!$A:$Y,23,FALSE)</f>
        <v>0</v>
      </c>
      <c r="G229">
        <f>VLOOKUP(A229,[1]SE_SUMMIT_2032_US40!$A:$Y,24,FALSE)</f>
        <v>0</v>
      </c>
      <c r="H229">
        <f>VLOOKUP(A229,[1]SE_SUMMIT_2032_US40!$A:$Y,25,FALSE)</f>
        <v>0</v>
      </c>
      <c r="I229">
        <f>VLOOKUP(A229,[1]SE_SUMMIT_2032_US40!$A:$Z,26,FALSE)</f>
        <v>0</v>
      </c>
      <c r="J229">
        <f>VLOOKUP(A229,[2]SE_SUMMIT_2042_US40!$A:$Y,23,FALSE)</f>
        <v>0</v>
      </c>
      <c r="K229">
        <f>VLOOKUP(A229,[2]SE_SUMMIT_2042_US40!$A:$Y,24,FALSE)</f>
        <v>0</v>
      </c>
      <c r="L229">
        <f>VLOOKUP(A229,[2]SE_SUMMIT_2042_US40!$A:$Y,25,FALSE)</f>
        <v>0</v>
      </c>
      <c r="M229">
        <f>VLOOKUP(A229,[2]SE_SUMMIT_2042_US40!$A:$Z,26,FALSE)</f>
        <v>0</v>
      </c>
      <c r="N229">
        <f>VLOOKUP(A229,[3]SE_SUMMIT_2050_US40_Richardson_!$A:$Y,23,FALSE)</f>
        <v>0</v>
      </c>
      <c r="O229">
        <f>VLOOKUP(A229,[3]SE_SUMMIT_2050_US40_Richardson_!$A:$Y,24,FALSE)</f>
        <v>0</v>
      </c>
      <c r="P229">
        <f>VLOOKUP(A229,[3]SE_SUMMIT_2050_US40_Richardson_!$A:$Y,25,FALSE)</f>
        <v>0</v>
      </c>
      <c r="Q229">
        <f>VLOOKUP(A229,[3]SE_SUMMIT_2050_US40_Richardson_!$A:$Z,26,FALSE)</f>
        <v>0</v>
      </c>
      <c r="R229">
        <f t="shared" si="12"/>
        <v>0</v>
      </c>
      <c r="S229">
        <f t="shared" si="13"/>
        <v>0</v>
      </c>
      <c r="T229">
        <f t="shared" si="14"/>
        <v>0</v>
      </c>
      <c r="U229">
        <f t="shared" si="15"/>
        <v>0</v>
      </c>
    </row>
    <row r="230" spans="1:21" x14ac:dyDescent="0.25">
      <c r="A230">
        <v>43229</v>
      </c>
      <c r="B230">
        <v>25</v>
      </c>
      <c r="C230">
        <v>0</v>
      </c>
      <c r="D230">
        <v>0</v>
      </c>
      <c r="E230">
        <v>0</v>
      </c>
      <c r="F230">
        <f>VLOOKUP(A230,[1]SE_SUMMIT_2032_US40!$A:$Y,23,FALSE)</f>
        <v>25</v>
      </c>
      <c r="G230">
        <f>VLOOKUP(A230,[1]SE_SUMMIT_2032_US40!$A:$Y,24,FALSE)</f>
        <v>0</v>
      </c>
      <c r="H230">
        <f>VLOOKUP(A230,[1]SE_SUMMIT_2032_US40!$A:$Y,25,FALSE)</f>
        <v>0</v>
      </c>
      <c r="I230">
        <f>VLOOKUP(A230,[1]SE_SUMMIT_2032_US40!$A:$Z,26,FALSE)</f>
        <v>0</v>
      </c>
      <c r="J230">
        <f>VLOOKUP(A230,[2]SE_SUMMIT_2042_US40!$A:$Y,23,FALSE)</f>
        <v>25</v>
      </c>
      <c r="K230">
        <f>VLOOKUP(A230,[2]SE_SUMMIT_2042_US40!$A:$Y,24,FALSE)</f>
        <v>0</v>
      </c>
      <c r="L230">
        <f>VLOOKUP(A230,[2]SE_SUMMIT_2042_US40!$A:$Y,25,FALSE)</f>
        <v>0</v>
      </c>
      <c r="M230">
        <f>VLOOKUP(A230,[2]SE_SUMMIT_2042_US40!$A:$Z,26,FALSE)</f>
        <v>0</v>
      </c>
      <c r="N230">
        <f>VLOOKUP(A230,[3]SE_SUMMIT_2050_US40_Richardson_!$A:$Y,23,FALSE)</f>
        <v>25</v>
      </c>
      <c r="O230">
        <f>VLOOKUP(A230,[3]SE_SUMMIT_2050_US40_Richardson_!$A:$Y,24,FALSE)</f>
        <v>0</v>
      </c>
      <c r="P230">
        <f>VLOOKUP(A230,[3]SE_SUMMIT_2050_US40_Richardson_!$A:$Y,25,FALSE)</f>
        <v>0</v>
      </c>
      <c r="Q230">
        <f>VLOOKUP(A230,[3]SE_SUMMIT_2050_US40_Richardson_!$A:$Z,26,FALSE)</f>
        <v>0</v>
      </c>
      <c r="R230">
        <f t="shared" si="12"/>
        <v>0</v>
      </c>
      <c r="S230">
        <f t="shared" si="13"/>
        <v>0</v>
      </c>
      <c r="T230">
        <f t="shared" si="14"/>
        <v>0</v>
      </c>
      <c r="U230">
        <f t="shared" si="15"/>
        <v>0</v>
      </c>
    </row>
    <row r="231" spans="1:21" x14ac:dyDescent="0.25">
      <c r="A231">
        <v>43230</v>
      </c>
      <c r="B231">
        <v>99</v>
      </c>
      <c r="C231">
        <v>0</v>
      </c>
      <c r="D231">
        <v>0</v>
      </c>
      <c r="E231">
        <v>0</v>
      </c>
      <c r="F231">
        <f>VLOOKUP(A231,[1]SE_SUMMIT_2032_US40!$A:$Y,23,FALSE)</f>
        <v>99</v>
      </c>
      <c r="G231">
        <f>VLOOKUP(A231,[1]SE_SUMMIT_2032_US40!$A:$Y,24,FALSE)</f>
        <v>0</v>
      </c>
      <c r="H231">
        <f>VLOOKUP(A231,[1]SE_SUMMIT_2032_US40!$A:$Y,25,FALSE)</f>
        <v>0</v>
      </c>
      <c r="I231">
        <f>VLOOKUP(A231,[1]SE_SUMMIT_2032_US40!$A:$Z,26,FALSE)</f>
        <v>0</v>
      </c>
      <c r="J231">
        <f>VLOOKUP(A231,[2]SE_SUMMIT_2042_US40!$A:$Y,23,FALSE)</f>
        <v>99</v>
      </c>
      <c r="K231">
        <f>VLOOKUP(A231,[2]SE_SUMMIT_2042_US40!$A:$Y,24,FALSE)</f>
        <v>0</v>
      </c>
      <c r="L231">
        <f>VLOOKUP(A231,[2]SE_SUMMIT_2042_US40!$A:$Y,25,FALSE)</f>
        <v>0</v>
      </c>
      <c r="M231">
        <f>VLOOKUP(A231,[2]SE_SUMMIT_2042_US40!$A:$Z,26,FALSE)</f>
        <v>0</v>
      </c>
      <c r="N231">
        <f>VLOOKUP(A231,[3]SE_SUMMIT_2050_US40_Richardson_!$A:$Y,23,FALSE)</f>
        <v>99</v>
      </c>
      <c r="O231">
        <f>VLOOKUP(A231,[3]SE_SUMMIT_2050_US40_Richardson_!$A:$Y,24,FALSE)</f>
        <v>0</v>
      </c>
      <c r="P231">
        <f>VLOOKUP(A231,[3]SE_SUMMIT_2050_US40_Richardson_!$A:$Y,25,FALSE)</f>
        <v>0</v>
      </c>
      <c r="Q231">
        <f>VLOOKUP(A231,[3]SE_SUMMIT_2050_US40_Richardson_!$A:$Z,26,FALSE)</f>
        <v>0</v>
      </c>
      <c r="R231">
        <f t="shared" si="12"/>
        <v>0</v>
      </c>
      <c r="S231">
        <f t="shared" si="13"/>
        <v>0</v>
      </c>
      <c r="T231">
        <f t="shared" si="14"/>
        <v>0</v>
      </c>
      <c r="U231">
        <f t="shared" si="15"/>
        <v>0</v>
      </c>
    </row>
    <row r="232" spans="1:21" x14ac:dyDescent="0.25">
      <c r="A232">
        <v>43231</v>
      </c>
      <c r="B232">
        <v>0</v>
      </c>
      <c r="C232">
        <v>0</v>
      </c>
      <c r="D232">
        <v>0</v>
      </c>
      <c r="E232">
        <v>0</v>
      </c>
      <c r="F232">
        <f>VLOOKUP(A232,[1]SE_SUMMIT_2032_US40!$A:$Y,23,FALSE)</f>
        <v>0</v>
      </c>
      <c r="G232">
        <f>VLOOKUP(A232,[1]SE_SUMMIT_2032_US40!$A:$Y,24,FALSE)</f>
        <v>0</v>
      </c>
      <c r="H232">
        <f>VLOOKUP(A232,[1]SE_SUMMIT_2032_US40!$A:$Y,25,FALSE)</f>
        <v>0</v>
      </c>
      <c r="I232">
        <f>VLOOKUP(A232,[1]SE_SUMMIT_2032_US40!$A:$Z,26,FALSE)</f>
        <v>0</v>
      </c>
      <c r="J232">
        <f>VLOOKUP(A232,[2]SE_SUMMIT_2042_US40!$A:$Y,23,FALSE)</f>
        <v>0</v>
      </c>
      <c r="K232">
        <f>VLOOKUP(A232,[2]SE_SUMMIT_2042_US40!$A:$Y,24,FALSE)</f>
        <v>0</v>
      </c>
      <c r="L232">
        <f>VLOOKUP(A232,[2]SE_SUMMIT_2042_US40!$A:$Y,25,FALSE)</f>
        <v>0</v>
      </c>
      <c r="M232">
        <f>VLOOKUP(A232,[2]SE_SUMMIT_2042_US40!$A:$Z,26,FALSE)</f>
        <v>0</v>
      </c>
      <c r="N232">
        <f>VLOOKUP(A232,[3]SE_SUMMIT_2050_US40_Richardson_!$A:$Y,23,FALSE)</f>
        <v>0</v>
      </c>
      <c r="O232">
        <f>VLOOKUP(A232,[3]SE_SUMMIT_2050_US40_Richardson_!$A:$Y,24,FALSE)</f>
        <v>0</v>
      </c>
      <c r="P232">
        <f>VLOOKUP(A232,[3]SE_SUMMIT_2050_US40_Richardson_!$A:$Y,25,FALSE)</f>
        <v>0</v>
      </c>
      <c r="Q232">
        <f>VLOOKUP(A232,[3]SE_SUMMIT_2050_US40_Richardson_!$A:$Z,26,FALSE)</f>
        <v>0</v>
      </c>
      <c r="R232">
        <f t="shared" si="12"/>
        <v>0</v>
      </c>
      <c r="S232">
        <f t="shared" si="13"/>
        <v>0</v>
      </c>
      <c r="T232">
        <f t="shared" si="14"/>
        <v>0</v>
      </c>
      <c r="U232">
        <f t="shared" si="15"/>
        <v>0</v>
      </c>
    </row>
    <row r="233" spans="1:21" x14ac:dyDescent="0.25">
      <c r="A233">
        <v>43232</v>
      </c>
      <c r="B233">
        <v>0</v>
      </c>
      <c r="C233">
        <v>72</v>
      </c>
      <c r="D233">
        <v>0</v>
      </c>
      <c r="E233">
        <v>0</v>
      </c>
      <c r="F233">
        <f>VLOOKUP(A233,[1]SE_SUMMIT_2032_US40!$A:$Y,23,FALSE)</f>
        <v>0</v>
      </c>
      <c r="G233">
        <f>VLOOKUP(A233,[1]SE_SUMMIT_2032_US40!$A:$Y,24,FALSE)</f>
        <v>72</v>
      </c>
      <c r="H233">
        <f>VLOOKUP(A233,[1]SE_SUMMIT_2032_US40!$A:$Y,25,FALSE)</f>
        <v>0</v>
      </c>
      <c r="I233">
        <f>VLOOKUP(A233,[1]SE_SUMMIT_2032_US40!$A:$Z,26,FALSE)</f>
        <v>0</v>
      </c>
      <c r="J233">
        <f>VLOOKUP(A233,[2]SE_SUMMIT_2042_US40!$A:$Y,23,FALSE)</f>
        <v>0</v>
      </c>
      <c r="K233">
        <f>VLOOKUP(A233,[2]SE_SUMMIT_2042_US40!$A:$Y,24,FALSE)</f>
        <v>72</v>
      </c>
      <c r="L233">
        <f>VLOOKUP(A233,[2]SE_SUMMIT_2042_US40!$A:$Y,25,FALSE)</f>
        <v>0</v>
      </c>
      <c r="M233">
        <f>VLOOKUP(A233,[2]SE_SUMMIT_2042_US40!$A:$Z,26,FALSE)</f>
        <v>0</v>
      </c>
      <c r="N233">
        <f>VLOOKUP(A233,[3]SE_SUMMIT_2050_US40_Richardson_!$A:$Y,23,FALSE)</f>
        <v>0</v>
      </c>
      <c r="O233">
        <f>VLOOKUP(A233,[3]SE_SUMMIT_2050_US40_Richardson_!$A:$Y,24,FALSE)</f>
        <v>72</v>
      </c>
      <c r="P233">
        <f>VLOOKUP(A233,[3]SE_SUMMIT_2050_US40_Richardson_!$A:$Y,25,FALSE)</f>
        <v>0</v>
      </c>
      <c r="Q233">
        <f>VLOOKUP(A233,[3]SE_SUMMIT_2050_US40_Richardson_!$A:$Z,26,FALSE)</f>
        <v>0</v>
      </c>
      <c r="R233">
        <f t="shared" si="12"/>
        <v>0</v>
      </c>
      <c r="S233">
        <f t="shared" si="13"/>
        <v>0</v>
      </c>
      <c r="T233">
        <f t="shared" si="14"/>
        <v>0</v>
      </c>
      <c r="U233">
        <f t="shared" si="15"/>
        <v>0</v>
      </c>
    </row>
    <row r="234" spans="1:21" x14ac:dyDescent="0.25">
      <c r="A234">
        <v>43233</v>
      </c>
      <c r="B234">
        <v>0</v>
      </c>
      <c r="C234">
        <v>0</v>
      </c>
      <c r="D234">
        <v>0</v>
      </c>
      <c r="E234">
        <v>0</v>
      </c>
      <c r="F234">
        <f>VLOOKUP(A234,[1]SE_SUMMIT_2032_US40!$A:$Y,23,FALSE)</f>
        <v>0</v>
      </c>
      <c r="G234">
        <f>VLOOKUP(A234,[1]SE_SUMMIT_2032_US40!$A:$Y,24,FALSE)</f>
        <v>0</v>
      </c>
      <c r="H234">
        <f>VLOOKUP(A234,[1]SE_SUMMIT_2032_US40!$A:$Y,25,FALSE)</f>
        <v>0</v>
      </c>
      <c r="I234">
        <f>VLOOKUP(A234,[1]SE_SUMMIT_2032_US40!$A:$Z,26,FALSE)</f>
        <v>0</v>
      </c>
      <c r="J234">
        <f>VLOOKUP(A234,[2]SE_SUMMIT_2042_US40!$A:$Y,23,FALSE)</f>
        <v>0</v>
      </c>
      <c r="K234">
        <f>VLOOKUP(A234,[2]SE_SUMMIT_2042_US40!$A:$Y,24,FALSE)</f>
        <v>0</v>
      </c>
      <c r="L234">
        <f>VLOOKUP(A234,[2]SE_SUMMIT_2042_US40!$A:$Y,25,FALSE)</f>
        <v>0</v>
      </c>
      <c r="M234">
        <f>VLOOKUP(A234,[2]SE_SUMMIT_2042_US40!$A:$Z,26,FALSE)</f>
        <v>0</v>
      </c>
      <c r="N234">
        <f>VLOOKUP(A234,[3]SE_SUMMIT_2050_US40_Richardson_!$A:$Y,23,FALSE)</f>
        <v>0</v>
      </c>
      <c r="O234">
        <f>VLOOKUP(A234,[3]SE_SUMMIT_2050_US40_Richardson_!$A:$Y,24,FALSE)</f>
        <v>0</v>
      </c>
      <c r="P234">
        <f>VLOOKUP(A234,[3]SE_SUMMIT_2050_US40_Richardson_!$A:$Y,25,FALSE)</f>
        <v>0</v>
      </c>
      <c r="Q234">
        <f>VLOOKUP(A234,[3]SE_SUMMIT_2050_US40_Richardson_!$A:$Z,26,FALSE)</f>
        <v>0</v>
      </c>
      <c r="R234">
        <f t="shared" si="12"/>
        <v>0</v>
      </c>
      <c r="S234">
        <f t="shared" si="13"/>
        <v>0</v>
      </c>
      <c r="T234">
        <f t="shared" si="14"/>
        <v>0</v>
      </c>
      <c r="U234">
        <f t="shared" si="15"/>
        <v>0</v>
      </c>
    </row>
    <row r="235" spans="1:21" x14ac:dyDescent="0.25">
      <c r="A235">
        <v>43234</v>
      </c>
      <c r="B235">
        <v>0</v>
      </c>
      <c r="C235">
        <v>0</v>
      </c>
      <c r="D235">
        <v>0</v>
      </c>
      <c r="E235">
        <v>0</v>
      </c>
      <c r="F235">
        <f>VLOOKUP(A235,[1]SE_SUMMIT_2032_US40!$A:$Y,23,FALSE)</f>
        <v>0</v>
      </c>
      <c r="G235">
        <f>VLOOKUP(A235,[1]SE_SUMMIT_2032_US40!$A:$Y,24,FALSE)</f>
        <v>0</v>
      </c>
      <c r="H235">
        <f>VLOOKUP(A235,[1]SE_SUMMIT_2032_US40!$A:$Y,25,FALSE)</f>
        <v>0</v>
      </c>
      <c r="I235">
        <f>VLOOKUP(A235,[1]SE_SUMMIT_2032_US40!$A:$Z,26,FALSE)</f>
        <v>0</v>
      </c>
      <c r="J235">
        <f>VLOOKUP(A235,[2]SE_SUMMIT_2042_US40!$A:$Y,23,FALSE)</f>
        <v>0</v>
      </c>
      <c r="K235">
        <f>VLOOKUP(A235,[2]SE_SUMMIT_2042_US40!$A:$Y,24,FALSE)</f>
        <v>0</v>
      </c>
      <c r="L235">
        <f>VLOOKUP(A235,[2]SE_SUMMIT_2042_US40!$A:$Y,25,FALSE)</f>
        <v>0</v>
      </c>
      <c r="M235">
        <f>VLOOKUP(A235,[2]SE_SUMMIT_2042_US40!$A:$Z,26,FALSE)</f>
        <v>0</v>
      </c>
      <c r="N235">
        <f>VLOOKUP(A235,[3]SE_SUMMIT_2050_US40_Richardson_!$A:$Y,23,FALSE)</f>
        <v>0</v>
      </c>
      <c r="O235">
        <f>VLOOKUP(A235,[3]SE_SUMMIT_2050_US40_Richardson_!$A:$Y,24,FALSE)</f>
        <v>0</v>
      </c>
      <c r="P235">
        <f>VLOOKUP(A235,[3]SE_SUMMIT_2050_US40_Richardson_!$A:$Y,25,FALSE)</f>
        <v>0</v>
      </c>
      <c r="Q235">
        <f>VLOOKUP(A235,[3]SE_SUMMIT_2050_US40_Richardson_!$A:$Z,26,FALSE)</f>
        <v>0</v>
      </c>
      <c r="R235">
        <f t="shared" si="12"/>
        <v>0</v>
      </c>
      <c r="S235">
        <f t="shared" si="13"/>
        <v>0</v>
      </c>
      <c r="T235">
        <f t="shared" si="14"/>
        <v>0</v>
      </c>
      <c r="U235">
        <f t="shared" si="15"/>
        <v>0</v>
      </c>
    </row>
    <row r="236" spans="1:21" x14ac:dyDescent="0.25">
      <c r="A236">
        <v>43235</v>
      </c>
      <c r="B236">
        <v>0</v>
      </c>
      <c r="C236">
        <v>0</v>
      </c>
      <c r="D236">
        <v>0</v>
      </c>
      <c r="E236">
        <v>0</v>
      </c>
      <c r="F236">
        <f>VLOOKUP(A236,[1]SE_SUMMIT_2032_US40!$A:$Y,23,FALSE)</f>
        <v>0</v>
      </c>
      <c r="G236">
        <f>VLOOKUP(A236,[1]SE_SUMMIT_2032_US40!$A:$Y,24,FALSE)</f>
        <v>0</v>
      </c>
      <c r="H236">
        <f>VLOOKUP(A236,[1]SE_SUMMIT_2032_US40!$A:$Y,25,FALSE)</f>
        <v>0</v>
      </c>
      <c r="I236">
        <f>VLOOKUP(A236,[1]SE_SUMMIT_2032_US40!$A:$Z,26,FALSE)</f>
        <v>0</v>
      </c>
      <c r="J236">
        <f>VLOOKUP(A236,[2]SE_SUMMIT_2042_US40!$A:$Y,23,FALSE)</f>
        <v>0</v>
      </c>
      <c r="K236">
        <f>VLOOKUP(A236,[2]SE_SUMMIT_2042_US40!$A:$Y,24,FALSE)</f>
        <v>0</v>
      </c>
      <c r="L236">
        <f>VLOOKUP(A236,[2]SE_SUMMIT_2042_US40!$A:$Y,25,FALSE)</f>
        <v>0</v>
      </c>
      <c r="M236">
        <f>VLOOKUP(A236,[2]SE_SUMMIT_2042_US40!$A:$Z,26,FALSE)</f>
        <v>0</v>
      </c>
      <c r="N236">
        <f>VLOOKUP(A236,[3]SE_SUMMIT_2050_US40_Richardson_!$A:$Y,23,FALSE)</f>
        <v>0</v>
      </c>
      <c r="O236">
        <f>VLOOKUP(A236,[3]SE_SUMMIT_2050_US40_Richardson_!$A:$Y,24,FALSE)</f>
        <v>0</v>
      </c>
      <c r="P236">
        <f>VLOOKUP(A236,[3]SE_SUMMIT_2050_US40_Richardson_!$A:$Y,25,FALSE)</f>
        <v>0</v>
      </c>
      <c r="Q236">
        <f>VLOOKUP(A236,[3]SE_SUMMIT_2050_US40_Richardson_!$A:$Z,26,FALSE)</f>
        <v>0</v>
      </c>
      <c r="R236">
        <f t="shared" si="12"/>
        <v>0</v>
      </c>
      <c r="S236">
        <f t="shared" si="13"/>
        <v>0</v>
      </c>
      <c r="T236">
        <f t="shared" si="14"/>
        <v>0</v>
      </c>
      <c r="U236">
        <f t="shared" si="15"/>
        <v>0</v>
      </c>
    </row>
    <row r="237" spans="1:21" x14ac:dyDescent="0.25">
      <c r="A237">
        <v>43236</v>
      </c>
      <c r="B237">
        <v>0</v>
      </c>
      <c r="C237">
        <v>0</v>
      </c>
      <c r="D237">
        <v>0</v>
      </c>
      <c r="E237">
        <v>0</v>
      </c>
      <c r="F237">
        <f>VLOOKUP(A237,[1]SE_SUMMIT_2032_US40!$A:$Y,23,FALSE)</f>
        <v>0</v>
      </c>
      <c r="G237">
        <f>VLOOKUP(A237,[1]SE_SUMMIT_2032_US40!$A:$Y,24,FALSE)</f>
        <v>0</v>
      </c>
      <c r="H237">
        <f>VLOOKUP(A237,[1]SE_SUMMIT_2032_US40!$A:$Y,25,FALSE)</f>
        <v>0</v>
      </c>
      <c r="I237">
        <f>VLOOKUP(A237,[1]SE_SUMMIT_2032_US40!$A:$Z,26,FALSE)</f>
        <v>0</v>
      </c>
      <c r="J237">
        <f>VLOOKUP(A237,[2]SE_SUMMIT_2042_US40!$A:$Y,23,FALSE)</f>
        <v>0</v>
      </c>
      <c r="K237">
        <f>VLOOKUP(A237,[2]SE_SUMMIT_2042_US40!$A:$Y,24,FALSE)</f>
        <v>0</v>
      </c>
      <c r="L237">
        <f>VLOOKUP(A237,[2]SE_SUMMIT_2042_US40!$A:$Y,25,FALSE)</f>
        <v>0</v>
      </c>
      <c r="M237">
        <f>VLOOKUP(A237,[2]SE_SUMMIT_2042_US40!$A:$Z,26,FALSE)</f>
        <v>0</v>
      </c>
      <c r="N237">
        <f>VLOOKUP(A237,[3]SE_SUMMIT_2050_US40_Richardson_!$A:$Y,23,FALSE)</f>
        <v>0</v>
      </c>
      <c r="O237">
        <f>VLOOKUP(A237,[3]SE_SUMMIT_2050_US40_Richardson_!$A:$Y,24,FALSE)</f>
        <v>0</v>
      </c>
      <c r="P237">
        <f>VLOOKUP(A237,[3]SE_SUMMIT_2050_US40_Richardson_!$A:$Y,25,FALSE)</f>
        <v>0</v>
      </c>
      <c r="Q237">
        <f>VLOOKUP(A237,[3]SE_SUMMIT_2050_US40_Richardson_!$A:$Z,26,FALSE)</f>
        <v>0</v>
      </c>
      <c r="R237">
        <f t="shared" si="12"/>
        <v>0</v>
      </c>
      <c r="S237">
        <f t="shared" si="13"/>
        <v>0</v>
      </c>
      <c r="T237">
        <f t="shared" si="14"/>
        <v>0</v>
      </c>
      <c r="U237">
        <f t="shared" si="15"/>
        <v>0</v>
      </c>
    </row>
    <row r="238" spans="1:21" x14ac:dyDescent="0.25">
      <c r="A238">
        <v>43237</v>
      </c>
      <c r="B238">
        <v>0</v>
      </c>
      <c r="C238">
        <v>0</v>
      </c>
      <c r="D238">
        <v>0</v>
      </c>
      <c r="E238">
        <v>0</v>
      </c>
      <c r="F238">
        <f>VLOOKUP(A238,[1]SE_SUMMIT_2032_US40!$A:$Y,23,FALSE)</f>
        <v>0</v>
      </c>
      <c r="G238">
        <f>VLOOKUP(A238,[1]SE_SUMMIT_2032_US40!$A:$Y,24,FALSE)</f>
        <v>0</v>
      </c>
      <c r="H238">
        <f>VLOOKUP(A238,[1]SE_SUMMIT_2032_US40!$A:$Y,25,FALSE)</f>
        <v>0</v>
      </c>
      <c r="I238">
        <f>VLOOKUP(A238,[1]SE_SUMMIT_2032_US40!$A:$Z,26,FALSE)</f>
        <v>0</v>
      </c>
      <c r="J238">
        <f>VLOOKUP(A238,[2]SE_SUMMIT_2042_US40!$A:$Y,23,FALSE)</f>
        <v>0</v>
      </c>
      <c r="K238">
        <f>VLOOKUP(A238,[2]SE_SUMMIT_2042_US40!$A:$Y,24,FALSE)</f>
        <v>0</v>
      </c>
      <c r="L238">
        <f>VLOOKUP(A238,[2]SE_SUMMIT_2042_US40!$A:$Y,25,FALSE)</f>
        <v>0</v>
      </c>
      <c r="M238">
        <f>VLOOKUP(A238,[2]SE_SUMMIT_2042_US40!$A:$Z,26,FALSE)</f>
        <v>0</v>
      </c>
      <c r="N238">
        <f>VLOOKUP(A238,[3]SE_SUMMIT_2050_US40_Richardson_!$A:$Y,23,FALSE)</f>
        <v>0</v>
      </c>
      <c r="O238">
        <f>VLOOKUP(A238,[3]SE_SUMMIT_2050_US40_Richardson_!$A:$Y,24,FALSE)</f>
        <v>0</v>
      </c>
      <c r="P238">
        <f>VLOOKUP(A238,[3]SE_SUMMIT_2050_US40_Richardson_!$A:$Y,25,FALSE)</f>
        <v>0</v>
      </c>
      <c r="Q238">
        <f>VLOOKUP(A238,[3]SE_SUMMIT_2050_US40_Richardson_!$A:$Z,26,FALSE)</f>
        <v>0</v>
      </c>
      <c r="R238">
        <f t="shared" si="12"/>
        <v>0</v>
      </c>
      <c r="S238">
        <f t="shared" si="13"/>
        <v>0</v>
      </c>
      <c r="T238">
        <f t="shared" si="14"/>
        <v>0</v>
      </c>
      <c r="U238">
        <f t="shared" si="15"/>
        <v>0</v>
      </c>
    </row>
    <row r="239" spans="1:21" x14ac:dyDescent="0.25">
      <c r="A239">
        <v>43238</v>
      </c>
      <c r="B239">
        <v>0</v>
      </c>
      <c r="C239">
        <v>0</v>
      </c>
      <c r="D239">
        <v>0</v>
      </c>
      <c r="E239">
        <v>0</v>
      </c>
      <c r="F239">
        <f>VLOOKUP(A239,[1]SE_SUMMIT_2032_US40!$A:$Y,23,FALSE)</f>
        <v>0</v>
      </c>
      <c r="G239">
        <f>VLOOKUP(A239,[1]SE_SUMMIT_2032_US40!$A:$Y,24,FALSE)</f>
        <v>0</v>
      </c>
      <c r="H239">
        <f>VLOOKUP(A239,[1]SE_SUMMIT_2032_US40!$A:$Y,25,FALSE)</f>
        <v>0</v>
      </c>
      <c r="I239">
        <f>VLOOKUP(A239,[1]SE_SUMMIT_2032_US40!$A:$Z,26,FALSE)</f>
        <v>0</v>
      </c>
      <c r="J239">
        <f>VLOOKUP(A239,[2]SE_SUMMIT_2042_US40!$A:$Y,23,FALSE)</f>
        <v>0</v>
      </c>
      <c r="K239">
        <f>VLOOKUP(A239,[2]SE_SUMMIT_2042_US40!$A:$Y,24,FALSE)</f>
        <v>0</v>
      </c>
      <c r="L239">
        <f>VLOOKUP(A239,[2]SE_SUMMIT_2042_US40!$A:$Y,25,FALSE)</f>
        <v>0</v>
      </c>
      <c r="M239">
        <f>VLOOKUP(A239,[2]SE_SUMMIT_2042_US40!$A:$Z,26,FALSE)</f>
        <v>0</v>
      </c>
      <c r="N239">
        <f>VLOOKUP(A239,[3]SE_SUMMIT_2050_US40_Richardson_!$A:$Y,23,FALSE)</f>
        <v>0</v>
      </c>
      <c r="O239">
        <f>VLOOKUP(A239,[3]SE_SUMMIT_2050_US40_Richardson_!$A:$Y,24,FALSE)</f>
        <v>0</v>
      </c>
      <c r="P239">
        <f>VLOOKUP(A239,[3]SE_SUMMIT_2050_US40_Richardson_!$A:$Y,25,FALSE)</f>
        <v>0</v>
      </c>
      <c r="Q239">
        <f>VLOOKUP(A239,[3]SE_SUMMIT_2050_US40_Richardson_!$A:$Z,26,FALSE)</f>
        <v>0</v>
      </c>
      <c r="R239">
        <f t="shared" si="12"/>
        <v>0</v>
      </c>
      <c r="S239">
        <f t="shared" si="13"/>
        <v>0</v>
      </c>
      <c r="T239">
        <f t="shared" si="14"/>
        <v>0</v>
      </c>
      <c r="U239">
        <f t="shared" si="15"/>
        <v>0</v>
      </c>
    </row>
    <row r="240" spans="1:21" x14ac:dyDescent="0.25">
      <c r="A240">
        <v>43239</v>
      </c>
      <c r="B240">
        <v>0</v>
      </c>
      <c r="C240">
        <v>0</v>
      </c>
      <c r="D240">
        <v>0</v>
      </c>
      <c r="E240">
        <v>0</v>
      </c>
      <c r="F240">
        <f>VLOOKUP(A240,[1]SE_SUMMIT_2032_US40!$A:$Y,23,FALSE)</f>
        <v>0</v>
      </c>
      <c r="G240">
        <f>VLOOKUP(A240,[1]SE_SUMMIT_2032_US40!$A:$Y,24,FALSE)</f>
        <v>0</v>
      </c>
      <c r="H240">
        <f>VLOOKUP(A240,[1]SE_SUMMIT_2032_US40!$A:$Y,25,FALSE)</f>
        <v>0</v>
      </c>
      <c r="I240">
        <f>VLOOKUP(A240,[1]SE_SUMMIT_2032_US40!$A:$Z,26,FALSE)</f>
        <v>0</v>
      </c>
      <c r="J240">
        <f>VLOOKUP(A240,[2]SE_SUMMIT_2042_US40!$A:$Y,23,FALSE)</f>
        <v>0</v>
      </c>
      <c r="K240">
        <f>VLOOKUP(A240,[2]SE_SUMMIT_2042_US40!$A:$Y,24,FALSE)</f>
        <v>0</v>
      </c>
      <c r="L240">
        <f>VLOOKUP(A240,[2]SE_SUMMIT_2042_US40!$A:$Y,25,FALSE)</f>
        <v>0</v>
      </c>
      <c r="M240">
        <f>VLOOKUP(A240,[2]SE_SUMMIT_2042_US40!$A:$Z,26,FALSE)</f>
        <v>0</v>
      </c>
      <c r="N240">
        <f>VLOOKUP(A240,[3]SE_SUMMIT_2050_US40_Richardson_!$A:$Y,23,FALSE)</f>
        <v>0</v>
      </c>
      <c r="O240">
        <f>VLOOKUP(A240,[3]SE_SUMMIT_2050_US40_Richardson_!$A:$Y,24,FALSE)</f>
        <v>0</v>
      </c>
      <c r="P240">
        <f>VLOOKUP(A240,[3]SE_SUMMIT_2050_US40_Richardson_!$A:$Y,25,FALSE)</f>
        <v>0</v>
      </c>
      <c r="Q240">
        <f>VLOOKUP(A240,[3]SE_SUMMIT_2050_US40_Richardson_!$A:$Z,26,FALSE)</f>
        <v>0</v>
      </c>
      <c r="R240">
        <f t="shared" si="12"/>
        <v>0</v>
      </c>
      <c r="S240">
        <f t="shared" si="13"/>
        <v>0</v>
      </c>
      <c r="T240">
        <f t="shared" si="14"/>
        <v>0</v>
      </c>
      <c r="U240">
        <f t="shared" si="15"/>
        <v>0</v>
      </c>
    </row>
    <row r="241" spans="1:21" x14ac:dyDescent="0.25">
      <c r="A241">
        <v>43240</v>
      </c>
      <c r="B241">
        <v>0</v>
      </c>
      <c r="C241">
        <v>0</v>
      </c>
      <c r="D241">
        <v>0</v>
      </c>
      <c r="E241">
        <v>0</v>
      </c>
      <c r="F241">
        <f>VLOOKUP(A241,[1]SE_SUMMIT_2032_US40!$A:$Y,23,FALSE)</f>
        <v>0</v>
      </c>
      <c r="G241">
        <f>VLOOKUP(A241,[1]SE_SUMMIT_2032_US40!$A:$Y,24,FALSE)</f>
        <v>0</v>
      </c>
      <c r="H241">
        <f>VLOOKUP(A241,[1]SE_SUMMIT_2032_US40!$A:$Y,25,FALSE)</f>
        <v>0</v>
      </c>
      <c r="I241">
        <f>VLOOKUP(A241,[1]SE_SUMMIT_2032_US40!$A:$Z,26,FALSE)</f>
        <v>0</v>
      </c>
      <c r="J241">
        <f>VLOOKUP(A241,[2]SE_SUMMIT_2042_US40!$A:$Y,23,FALSE)</f>
        <v>0</v>
      </c>
      <c r="K241">
        <f>VLOOKUP(A241,[2]SE_SUMMIT_2042_US40!$A:$Y,24,FALSE)</f>
        <v>0</v>
      </c>
      <c r="L241">
        <f>VLOOKUP(A241,[2]SE_SUMMIT_2042_US40!$A:$Y,25,FALSE)</f>
        <v>0</v>
      </c>
      <c r="M241">
        <f>VLOOKUP(A241,[2]SE_SUMMIT_2042_US40!$A:$Z,26,FALSE)</f>
        <v>0</v>
      </c>
      <c r="N241">
        <f>VLOOKUP(A241,[3]SE_SUMMIT_2050_US40_Richardson_!$A:$Y,23,FALSE)</f>
        <v>0</v>
      </c>
      <c r="O241">
        <f>VLOOKUP(A241,[3]SE_SUMMIT_2050_US40_Richardson_!$A:$Y,24,FALSE)</f>
        <v>0</v>
      </c>
      <c r="P241">
        <f>VLOOKUP(A241,[3]SE_SUMMIT_2050_US40_Richardson_!$A:$Y,25,FALSE)</f>
        <v>0</v>
      </c>
      <c r="Q241">
        <f>VLOOKUP(A241,[3]SE_SUMMIT_2050_US40_Richardson_!$A:$Z,26,FALSE)</f>
        <v>0</v>
      </c>
      <c r="R241">
        <f t="shared" si="12"/>
        <v>0</v>
      </c>
      <c r="S241">
        <f t="shared" si="13"/>
        <v>0</v>
      </c>
      <c r="T241">
        <f t="shared" si="14"/>
        <v>0</v>
      </c>
      <c r="U241">
        <f t="shared" si="15"/>
        <v>0</v>
      </c>
    </row>
    <row r="242" spans="1:21" x14ac:dyDescent="0.25">
      <c r="A242">
        <v>43241</v>
      </c>
      <c r="B242">
        <v>0</v>
      </c>
      <c r="C242">
        <v>0</v>
      </c>
      <c r="D242">
        <v>0</v>
      </c>
      <c r="E242">
        <v>0</v>
      </c>
      <c r="F242">
        <f>VLOOKUP(A242,[1]SE_SUMMIT_2032_US40!$A:$Y,23,FALSE)</f>
        <v>0</v>
      </c>
      <c r="G242">
        <f>VLOOKUP(A242,[1]SE_SUMMIT_2032_US40!$A:$Y,24,FALSE)</f>
        <v>0</v>
      </c>
      <c r="H242">
        <f>VLOOKUP(A242,[1]SE_SUMMIT_2032_US40!$A:$Y,25,FALSE)</f>
        <v>0</v>
      </c>
      <c r="I242">
        <f>VLOOKUP(A242,[1]SE_SUMMIT_2032_US40!$A:$Z,26,FALSE)</f>
        <v>0</v>
      </c>
      <c r="J242">
        <f>VLOOKUP(A242,[2]SE_SUMMIT_2042_US40!$A:$Y,23,FALSE)</f>
        <v>0</v>
      </c>
      <c r="K242">
        <f>VLOOKUP(A242,[2]SE_SUMMIT_2042_US40!$A:$Y,24,FALSE)</f>
        <v>0</v>
      </c>
      <c r="L242">
        <f>VLOOKUP(A242,[2]SE_SUMMIT_2042_US40!$A:$Y,25,FALSE)</f>
        <v>0</v>
      </c>
      <c r="M242">
        <f>VLOOKUP(A242,[2]SE_SUMMIT_2042_US40!$A:$Z,26,FALSE)</f>
        <v>0</v>
      </c>
      <c r="N242">
        <f>VLOOKUP(A242,[3]SE_SUMMIT_2050_US40_Richardson_!$A:$Y,23,FALSE)</f>
        <v>0</v>
      </c>
      <c r="O242">
        <f>VLOOKUP(A242,[3]SE_SUMMIT_2050_US40_Richardson_!$A:$Y,24,FALSE)</f>
        <v>0</v>
      </c>
      <c r="P242">
        <f>VLOOKUP(A242,[3]SE_SUMMIT_2050_US40_Richardson_!$A:$Y,25,FALSE)</f>
        <v>0</v>
      </c>
      <c r="Q242">
        <f>VLOOKUP(A242,[3]SE_SUMMIT_2050_US40_Richardson_!$A:$Z,26,FALSE)</f>
        <v>0</v>
      </c>
      <c r="R242">
        <f t="shared" si="12"/>
        <v>0</v>
      </c>
      <c r="S242">
        <f t="shared" si="13"/>
        <v>0</v>
      </c>
      <c r="T242">
        <f t="shared" si="14"/>
        <v>0</v>
      </c>
      <c r="U242">
        <f t="shared" si="15"/>
        <v>0</v>
      </c>
    </row>
    <row r="243" spans="1:21" x14ac:dyDescent="0.25">
      <c r="A243">
        <v>43242</v>
      </c>
      <c r="B243">
        <v>0</v>
      </c>
      <c r="C243">
        <v>0</v>
      </c>
      <c r="D243">
        <v>0</v>
      </c>
      <c r="E243">
        <v>0</v>
      </c>
      <c r="F243">
        <f>VLOOKUP(A243,[1]SE_SUMMIT_2032_US40!$A:$Y,23,FALSE)</f>
        <v>0</v>
      </c>
      <c r="G243">
        <f>VLOOKUP(A243,[1]SE_SUMMIT_2032_US40!$A:$Y,24,FALSE)</f>
        <v>0</v>
      </c>
      <c r="H243">
        <f>VLOOKUP(A243,[1]SE_SUMMIT_2032_US40!$A:$Y,25,FALSE)</f>
        <v>0</v>
      </c>
      <c r="I243">
        <f>VLOOKUP(A243,[1]SE_SUMMIT_2032_US40!$A:$Z,26,FALSE)</f>
        <v>0</v>
      </c>
      <c r="J243">
        <f>VLOOKUP(A243,[2]SE_SUMMIT_2042_US40!$A:$Y,23,FALSE)</f>
        <v>0</v>
      </c>
      <c r="K243">
        <f>VLOOKUP(A243,[2]SE_SUMMIT_2042_US40!$A:$Y,24,FALSE)</f>
        <v>0</v>
      </c>
      <c r="L243">
        <f>VLOOKUP(A243,[2]SE_SUMMIT_2042_US40!$A:$Y,25,FALSE)</f>
        <v>0</v>
      </c>
      <c r="M243">
        <f>VLOOKUP(A243,[2]SE_SUMMIT_2042_US40!$A:$Z,26,FALSE)</f>
        <v>0</v>
      </c>
      <c r="N243">
        <f>VLOOKUP(A243,[3]SE_SUMMIT_2050_US40_Richardson_!$A:$Y,23,FALSE)</f>
        <v>0</v>
      </c>
      <c r="O243">
        <f>VLOOKUP(A243,[3]SE_SUMMIT_2050_US40_Richardson_!$A:$Y,24,FALSE)</f>
        <v>0</v>
      </c>
      <c r="P243">
        <f>VLOOKUP(A243,[3]SE_SUMMIT_2050_US40_Richardson_!$A:$Y,25,FALSE)</f>
        <v>0</v>
      </c>
      <c r="Q243">
        <f>VLOOKUP(A243,[3]SE_SUMMIT_2050_US40_Richardson_!$A:$Z,26,FALSE)</f>
        <v>0</v>
      </c>
      <c r="R243">
        <f t="shared" si="12"/>
        <v>0</v>
      </c>
      <c r="S243">
        <f t="shared" si="13"/>
        <v>0</v>
      </c>
      <c r="T243">
        <f t="shared" si="14"/>
        <v>0</v>
      </c>
      <c r="U243">
        <f t="shared" si="15"/>
        <v>0</v>
      </c>
    </row>
    <row r="244" spans="1:21" x14ac:dyDescent="0.25">
      <c r="A244">
        <v>43243</v>
      </c>
      <c r="B244">
        <v>47</v>
      </c>
      <c r="C244">
        <v>0</v>
      </c>
      <c r="D244">
        <v>0</v>
      </c>
      <c r="E244">
        <v>0</v>
      </c>
      <c r="F244">
        <f>VLOOKUP(A244,[1]SE_SUMMIT_2032_US40!$A:$Y,23,FALSE)</f>
        <v>47</v>
      </c>
      <c r="G244">
        <f>VLOOKUP(A244,[1]SE_SUMMIT_2032_US40!$A:$Y,24,FALSE)</f>
        <v>0</v>
      </c>
      <c r="H244">
        <f>VLOOKUP(A244,[1]SE_SUMMIT_2032_US40!$A:$Y,25,FALSE)</f>
        <v>0</v>
      </c>
      <c r="I244">
        <f>VLOOKUP(A244,[1]SE_SUMMIT_2032_US40!$A:$Z,26,FALSE)</f>
        <v>0</v>
      </c>
      <c r="J244">
        <f>VLOOKUP(A244,[2]SE_SUMMIT_2042_US40!$A:$Y,23,FALSE)</f>
        <v>47</v>
      </c>
      <c r="K244">
        <f>VLOOKUP(A244,[2]SE_SUMMIT_2042_US40!$A:$Y,24,FALSE)</f>
        <v>0</v>
      </c>
      <c r="L244">
        <f>VLOOKUP(A244,[2]SE_SUMMIT_2042_US40!$A:$Y,25,FALSE)</f>
        <v>0</v>
      </c>
      <c r="M244">
        <f>VLOOKUP(A244,[2]SE_SUMMIT_2042_US40!$A:$Z,26,FALSE)</f>
        <v>0</v>
      </c>
      <c r="N244">
        <f>VLOOKUP(A244,[3]SE_SUMMIT_2050_US40_Richardson_!$A:$Y,23,FALSE)</f>
        <v>47</v>
      </c>
      <c r="O244">
        <f>VLOOKUP(A244,[3]SE_SUMMIT_2050_US40_Richardson_!$A:$Y,24,FALSE)</f>
        <v>0</v>
      </c>
      <c r="P244">
        <f>VLOOKUP(A244,[3]SE_SUMMIT_2050_US40_Richardson_!$A:$Y,25,FALSE)</f>
        <v>0</v>
      </c>
      <c r="Q244">
        <f>VLOOKUP(A244,[3]SE_SUMMIT_2050_US40_Richardson_!$A:$Z,26,FALSE)</f>
        <v>0</v>
      </c>
      <c r="R244">
        <f t="shared" si="12"/>
        <v>0</v>
      </c>
      <c r="S244">
        <f t="shared" si="13"/>
        <v>0</v>
      </c>
      <c r="T244">
        <f t="shared" si="14"/>
        <v>0</v>
      </c>
      <c r="U244">
        <f t="shared" si="15"/>
        <v>0</v>
      </c>
    </row>
    <row r="245" spans="1:21" x14ac:dyDescent="0.25">
      <c r="A245">
        <v>43244</v>
      </c>
      <c r="B245">
        <v>9</v>
      </c>
      <c r="C245">
        <v>0</v>
      </c>
      <c r="D245">
        <v>0</v>
      </c>
      <c r="E245">
        <v>0</v>
      </c>
      <c r="F245">
        <f>VLOOKUP(A245,[1]SE_SUMMIT_2032_US40!$A:$Y,23,FALSE)</f>
        <v>9</v>
      </c>
      <c r="G245">
        <f>VLOOKUP(A245,[1]SE_SUMMIT_2032_US40!$A:$Y,24,FALSE)</f>
        <v>0</v>
      </c>
      <c r="H245">
        <f>VLOOKUP(A245,[1]SE_SUMMIT_2032_US40!$A:$Y,25,FALSE)</f>
        <v>0</v>
      </c>
      <c r="I245">
        <f>VLOOKUP(A245,[1]SE_SUMMIT_2032_US40!$A:$Z,26,FALSE)</f>
        <v>0</v>
      </c>
      <c r="J245">
        <f>VLOOKUP(A245,[2]SE_SUMMIT_2042_US40!$A:$Y,23,FALSE)</f>
        <v>9</v>
      </c>
      <c r="K245">
        <f>VLOOKUP(A245,[2]SE_SUMMIT_2042_US40!$A:$Y,24,FALSE)</f>
        <v>0</v>
      </c>
      <c r="L245">
        <f>VLOOKUP(A245,[2]SE_SUMMIT_2042_US40!$A:$Y,25,FALSE)</f>
        <v>0</v>
      </c>
      <c r="M245">
        <f>VLOOKUP(A245,[2]SE_SUMMIT_2042_US40!$A:$Z,26,FALSE)</f>
        <v>0</v>
      </c>
      <c r="N245">
        <f>VLOOKUP(A245,[3]SE_SUMMIT_2050_US40_Richardson_!$A:$Y,23,FALSE)</f>
        <v>9</v>
      </c>
      <c r="O245">
        <f>VLOOKUP(A245,[3]SE_SUMMIT_2050_US40_Richardson_!$A:$Y,24,FALSE)</f>
        <v>0</v>
      </c>
      <c r="P245">
        <f>VLOOKUP(A245,[3]SE_SUMMIT_2050_US40_Richardson_!$A:$Y,25,FALSE)</f>
        <v>0</v>
      </c>
      <c r="Q245">
        <f>VLOOKUP(A245,[3]SE_SUMMIT_2050_US40_Richardson_!$A:$Z,26,FALSE)</f>
        <v>0</v>
      </c>
      <c r="R245">
        <f t="shared" si="12"/>
        <v>0</v>
      </c>
      <c r="S245">
        <f t="shared" si="13"/>
        <v>0</v>
      </c>
      <c r="T245">
        <f t="shared" si="14"/>
        <v>0</v>
      </c>
      <c r="U245">
        <f t="shared" si="15"/>
        <v>0</v>
      </c>
    </row>
    <row r="246" spans="1:21" x14ac:dyDescent="0.25">
      <c r="A246">
        <v>43245</v>
      </c>
      <c r="B246">
        <v>51</v>
      </c>
      <c r="C246">
        <v>0</v>
      </c>
      <c r="D246">
        <v>0</v>
      </c>
      <c r="E246">
        <v>0</v>
      </c>
      <c r="F246">
        <f>VLOOKUP(A246,[1]SE_SUMMIT_2032_US40!$A:$Y,23,FALSE)</f>
        <v>51</v>
      </c>
      <c r="G246">
        <f>VLOOKUP(A246,[1]SE_SUMMIT_2032_US40!$A:$Y,24,FALSE)</f>
        <v>0</v>
      </c>
      <c r="H246">
        <f>VLOOKUP(A246,[1]SE_SUMMIT_2032_US40!$A:$Y,25,FALSE)</f>
        <v>0</v>
      </c>
      <c r="I246">
        <f>VLOOKUP(A246,[1]SE_SUMMIT_2032_US40!$A:$Z,26,FALSE)</f>
        <v>0</v>
      </c>
      <c r="J246">
        <f>VLOOKUP(A246,[2]SE_SUMMIT_2042_US40!$A:$Y,23,FALSE)</f>
        <v>51</v>
      </c>
      <c r="K246">
        <f>VLOOKUP(A246,[2]SE_SUMMIT_2042_US40!$A:$Y,24,FALSE)</f>
        <v>0</v>
      </c>
      <c r="L246">
        <f>VLOOKUP(A246,[2]SE_SUMMIT_2042_US40!$A:$Y,25,FALSE)</f>
        <v>0</v>
      </c>
      <c r="M246">
        <f>VLOOKUP(A246,[2]SE_SUMMIT_2042_US40!$A:$Z,26,FALSE)</f>
        <v>0</v>
      </c>
      <c r="N246">
        <f>VLOOKUP(A246,[3]SE_SUMMIT_2050_US40_Richardson_!$A:$Y,23,FALSE)</f>
        <v>51</v>
      </c>
      <c r="O246">
        <f>VLOOKUP(A246,[3]SE_SUMMIT_2050_US40_Richardson_!$A:$Y,24,FALSE)</f>
        <v>0</v>
      </c>
      <c r="P246">
        <f>VLOOKUP(A246,[3]SE_SUMMIT_2050_US40_Richardson_!$A:$Y,25,FALSE)</f>
        <v>0</v>
      </c>
      <c r="Q246">
        <f>VLOOKUP(A246,[3]SE_SUMMIT_2050_US40_Richardson_!$A:$Z,26,FALSE)</f>
        <v>0</v>
      </c>
      <c r="R246">
        <f t="shared" si="12"/>
        <v>0</v>
      </c>
      <c r="S246">
        <f t="shared" si="13"/>
        <v>0</v>
      </c>
      <c r="T246">
        <f t="shared" si="14"/>
        <v>0</v>
      </c>
      <c r="U246">
        <f t="shared" si="15"/>
        <v>0</v>
      </c>
    </row>
    <row r="247" spans="1:21" x14ac:dyDescent="0.25">
      <c r="A247">
        <v>43246</v>
      </c>
      <c r="B247">
        <v>52</v>
      </c>
      <c r="C247">
        <v>0</v>
      </c>
      <c r="D247">
        <v>0</v>
      </c>
      <c r="E247">
        <v>0</v>
      </c>
      <c r="F247">
        <f>VLOOKUP(A247,[1]SE_SUMMIT_2032_US40!$A:$Y,23,FALSE)</f>
        <v>52</v>
      </c>
      <c r="G247">
        <f>VLOOKUP(A247,[1]SE_SUMMIT_2032_US40!$A:$Y,24,FALSE)</f>
        <v>0</v>
      </c>
      <c r="H247">
        <f>VLOOKUP(A247,[1]SE_SUMMIT_2032_US40!$A:$Y,25,FALSE)</f>
        <v>0</v>
      </c>
      <c r="I247">
        <f>VLOOKUP(A247,[1]SE_SUMMIT_2032_US40!$A:$Z,26,FALSE)</f>
        <v>0</v>
      </c>
      <c r="J247">
        <f>VLOOKUP(A247,[2]SE_SUMMIT_2042_US40!$A:$Y,23,FALSE)</f>
        <v>52</v>
      </c>
      <c r="K247">
        <f>VLOOKUP(A247,[2]SE_SUMMIT_2042_US40!$A:$Y,24,FALSE)</f>
        <v>0</v>
      </c>
      <c r="L247">
        <f>VLOOKUP(A247,[2]SE_SUMMIT_2042_US40!$A:$Y,25,FALSE)</f>
        <v>0</v>
      </c>
      <c r="M247">
        <f>VLOOKUP(A247,[2]SE_SUMMIT_2042_US40!$A:$Z,26,FALSE)</f>
        <v>0</v>
      </c>
      <c r="N247">
        <f>VLOOKUP(A247,[3]SE_SUMMIT_2050_US40_Richardson_!$A:$Y,23,FALSE)</f>
        <v>52</v>
      </c>
      <c r="O247">
        <f>VLOOKUP(A247,[3]SE_SUMMIT_2050_US40_Richardson_!$A:$Y,24,FALSE)</f>
        <v>0</v>
      </c>
      <c r="P247">
        <f>VLOOKUP(A247,[3]SE_SUMMIT_2050_US40_Richardson_!$A:$Y,25,FALSE)</f>
        <v>0</v>
      </c>
      <c r="Q247">
        <f>VLOOKUP(A247,[3]SE_SUMMIT_2050_US40_Richardson_!$A:$Z,26,FALSE)</f>
        <v>0</v>
      </c>
      <c r="R247">
        <f t="shared" si="12"/>
        <v>0</v>
      </c>
      <c r="S247">
        <f t="shared" si="13"/>
        <v>0</v>
      </c>
      <c r="T247">
        <f t="shared" si="14"/>
        <v>0</v>
      </c>
      <c r="U247">
        <f t="shared" si="15"/>
        <v>0</v>
      </c>
    </row>
    <row r="248" spans="1:21" x14ac:dyDescent="0.25">
      <c r="A248">
        <v>43247</v>
      </c>
      <c r="B248">
        <v>0</v>
      </c>
      <c r="C248">
        <v>0</v>
      </c>
      <c r="D248">
        <v>64</v>
      </c>
      <c r="E248">
        <v>0</v>
      </c>
      <c r="F248">
        <f>VLOOKUP(A248,[1]SE_SUMMIT_2032_US40!$A:$Y,23,FALSE)</f>
        <v>0</v>
      </c>
      <c r="G248">
        <f>VLOOKUP(A248,[1]SE_SUMMIT_2032_US40!$A:$Y,24,FALSE)</f>
        <v>0</v>
      </c>
      <c r="H248">
        <f>VLOOKUP(A248,[1]SE_SUMMIT_2032_US40!$A:$Y,25,FALSE)</f>
        <v>64</v>
      </c>
      <c r="I248">
        <f>VLOOKUP(A248,[1]SE_SUMMIT_2032_US40!$A:$Z,26,FALSE)</f>
        <v>0</v>
      </c>
      <c r="J248">
        <f>VLOOKUP(A248,[2]SE_SUMMIT_2042_US40!$A:$Y,23,FALSE)</f>
        <v>0</v>
      </c>
      <c r="K248">
        <f>VLOOKUP(A248,[2]SE_SUMMIT_2042_US40!$A:$Y,24,FALSE)</f>
        <v>0</v>
      </c>
      <c r="L248">
        <f>VLOOKUP(A248,[2]SE_SUMMIT_2042_US40!$A:$Y,25,FALSE)</f>
        <v>64</v>
      </c>
      <c r="M248">
        <f>VLOOKUP(A248,[2]SE_SUMMIT_2042_US40!$A:$Z,26,FALSE)</f>
        <v>0</v>
      </c>
      <c r="N248">
        <f>VLOOKUP(A248,[3]SE_SUMMIT_2050_US40_Richardson_!$A:$Y,23,FALSE)</f>
        <v>0</v>
      </c>
      <c r="O248">
        <f>VLOOKUP(A248,[3]SE_SUMMIT_2050_US40_Richardson_!$A:$Y,24,FALSE)</f>
        <v>0</v>
      </c>
      <c r="P248">
        <f>VLOOKUP(A248,[3]SE_SUMMIT_2050_US40_Richardson_!$A:$Y,25,FALSE)</f>
        <v>64</v>
      </c>
      <c r="Q248">
        <f>VLOOKUP(A248,[3]SE_SUMMIT_2050_US40_Richardson_!$A:$Z,26,FALSE)</f>
        <v>0</v>
      </c>
      <c r="R248">
        <f t="shared" si="12"/>
        <v>0</v>
      </c>
      <c r="S248">
        <f t="shared" si="13"/>
        <v>0</v>
      </c>
      <c r="T248">
        <f t="shared" si="14"/>
        <v>0</v>
      </c>
      <c r="U248">
        <f t="shared" si="15"/>
        <v>0</v>
      </c>
    </row>
    <row r="249" spans="1:21" x14ac:dyDescent="0.25">
      <c r="A249">
        <v>43248</v>
      </c>
      <c r="B249">
        <v>0</v>
      </c>
      <c r="C249">
        <v>0</v>
      </c>
      <c r="D249">
        <v>38</v>
      </c>
      <c r="E249">
        <v>0</v>
      </c>
      <c r="F249">
        <f>VLOOKUP(A249,[1]SE_SUMMIT_2032_US40!$A:$Y,23,FALSE)</f>
        <v>0</v>
      </c>
      <c r="G249">
        <f>VLOOKUP(A249,[1]SE_SUMMIT_2032_US40!$A:$Y,24,FALSE)</f>
        <v>0</v>
      </c>
      <c r="H249">
        <f>VLOOKUP(A249,[1]SE_SUMMIT_2032_US40!$A:$Y,25,FALSE)</f>
        <v>38</v>
      </c>
      <c r="I249">
        <f>VLOOKUP(A249,[1]SE_SUMMIT_2032_US40!$A:$Z,26,FALSE)</f>
        <v>0</v>
      </c>
      <c r="J249">
        <f>VLOOKUP(A249,[2]SE_SUMMIT_2042_US40!$A:$Y,23,FALSE)</f>
        <v>0</v>
      </c>
      <c r="K249">
        <f>VLOOKUP(A249,[2]SE_SUMMIT_2042_US40!$A:$Y,24,FALSE)</f>
        <v>0</v>
      </c>
      <c r="L249">
        <f>VLOOKUP(A249,[2]SE_SUMMIT_2042_US40!$A:$Y,25,FALSE)</f>
        <v>38</v>
      </c>
      <c r="M249">
        <f>VLOOKUP(A249,[2]SE_SUMMIT_2042_US40!$A:$Z,26,FALSE)</f>
        <v>0</v>
      </c>
      <c r="N249">
        <f>VLOOKUP(A249,[3]SE_SUMMIT_2050_US40_Richardson_!$A:$Y,23,FALSE)</f>
        <v>0</v>
      </c>
      <c r="O249">
        <f>VLOOKUP(A249,[3]SE_SUMMIT_2050_US40_Richardson_!$A:$Y,24,FALSE)</f>
        <v>0</v>
      </c>
      <c r="P249">
        <f>VLOOKUP(A249,[3]SE_SUMMIT_2050_US40_Richardson_!$A:$Y,25,FALSE)</f>
        <v>38</v>
      </c>
      <c r="Q249">
        <f>VLOOKUP(A249,[3]SE_SUMMIT_2050_US40_Richardson_!$A:$Z,26,FALSE)</f>
        <v>0</v>
      </c>
      <c r="R249">
        <f t="shared" si="12"/>
        <v>0</v>
      </c>
      <c r="S249">
        <f t="shared" si="13"/>
        <v>0</v>
      </c>
      <c r="T249">
        <f t="shared" si="14"/>
        <v>0</v>
      </c>
      <c r="U249">
        <f t="shared" si="15"/>
        <v>0</v>
      </c>
    </row>
    <row r="250" spans="1:21" x14ac:dyDescent="0.25">
      <c r="A250">
        <v>43249</v>
      </c>
      <c r="B250">
        <v>31</v>
      </c>
      <c r="C250">
        <v>0</v>
      </c>
      <c r="D250">
        <v>0</v>
      </c>
      <c r="E250">
        <v>0</v>
      </c>
      <c r="F250">
        <f>VLOOKUP(A250,[1]SE_SUMMIT_2032_US40!$A:$Y,23,FALSE)</f>
        <v>31</v>
      </c>
      <c r="G250">
        <f>VLOOKUP(A250,[1]SE_SUMMIT_2032_US40!$A:$Y,24,FALSE)</f>
        <v>0</v>
      </c>
      <c r="H250">
        <f>VLOOKUP(A250,[1]SE_SUMMIT_2032_US40!$A:$Y,25,FALSE)</f>
        <v>0</v>
      </c>
      <c r="I250">
        <f>VLOOKUP(A250,[1]SE_SUMMIT_2032_US40!$A:$Z,26,FALSE)</f>
        <v>0</v>
      </c>
      <c r="J250">
        <f>VLOOKUP(A250,[2]SE_SUMMIT_2042_US40!$A:$Y,23,FALSE)</f>
        <v>31</v>
      </c>
      <c r="K250">
        <f>VLOOKUP(A250,[2]SE_SUMMIT_2042_US40!$A:$Y,24,FALSE)</f>
        <v>0</v>
      </c>
      <c r="L250">
        <f>VLOOKUP(A250,[2]SE_SUMMIT_2042_US40!$A:$Y,25,FALSE)</f>
        <v>0</v>
      </c>
      <c r="M250">
        <f>VLOOKUP(A250,[2]SE_SUMMIT_2042_US40!$A:$Z,26,FALSE)</f>
        <v>0</v>
      </c>
      <c r="N250">
        <f>VLOOKUP(A250,[3]SE_SUMMIT_2050_US40_Richardson_!$A:$Y,23,FALSE)</f>
        <v>31</v>
      </c>
      <c r="O250">
        <f>VLOOKUP(A250,[3]SE_SUMMIT_2050_US40_Richardson_!$A:$Y,24,FALSE)</f>
        <v>0</v>
      </c>
      <c r="P250">
        <f>VLOOKUP(A250,[3]SE_SUMMIT_2050_US40_Richardson_!$A:$Y,25,FALSE)</f>
        <v>0</v>
      </c>
      <c r="Q250">
        <f>VLOOKUP(A250,[3]SE_SUMMIT_2050_US40_Richardson_!$A:$Z,26,FALSE)</f>
        <v>0</v>
      </c>
      <c r="R250">
        <f t="shared" si="12"/>
        <v>0</v>
      </c>
      <c r="S250">
        <f t="shared" si="13"/>
        <v>0</v>
      </c>
      <c r="T250">
        <f t="shared" si="14"/>
        <v>0</v>
      </c>
      <c r="U250">
        <f t="shared" si="15"/>
        <v>0</v>
      </c>
    </row>
    <row r="251" spans="1:21" x14ac:dyDescent="0.25">
      <c r="A251">
        <v>43250</v>
      </c>
      <c r="B251">
        <v>0</v>
      </c>
      <c r="C251">
        <v>0</v>
      </c>
      <c r="D251">
        <v>0</v>
      </c>
      <c r="E251">
        <v>0</v>
      </c>
      <c r="F251">
        <f>VLOOKUP(A251,[1]SE_SUMMIT_2032_US40!$A:$Y,23,FALSE)</f>
        <v>0</v>
      </c>
      <c r="G251">
        <f>VLOOKUP(A251,[1]SE_SUMMIT_2032_US40!$A:$Y,24,FALSE)</f>
        <v>0</v>
      </c>
      <c r="H251">
        <f>VLOOKUP(A251,[1]SE_SUMMIT_2032_US40!$A:$Y,25,FALSE)</f>
        <v>0</v>
      </c>
      <c r="I251">
        <f>VLOOKUP(A251,[1]SE_SUMMIT_2032_US40!$A:$Z,26,FALSE)</f>
        <v>0</v>
      </c>
      <c r="J251">
        <f>VLOOKUP(A251,[2]SE_SUMMIT_2042_US40!$A:$Y,23,FALSE)</f>
        <v>0</v>
      </c>
      <c r="K251">
        <f>VLOOKUP(A251,[2]SE_SUMMIT_2042_US40!$A:$Y,24,FALSE)</f>
        <v>0</v>
      </c>
      <c r="L251">
        <f>VLOOKUP(A251,[2]SE_SUMMIT_2042_US40!$A:$Y,25,FALSE)</f>
        <v>0</v>
      </c>
      <c r="M251">
        <f>VLOOKUP(A251,[2]SE_SUMMIT_2042_US40!$A:$Z,26,FALSE)</f>
        <v>0</v>
      </c>
      <c r="N251">
        <f>VLOOKUP(A251,[3]SE_SUMMIT_2050_US40_Richardson_!$A:$Y,23,FALSE)</f>
        <v>0</v>
      </c>
      <c r="O251">
        <f>VLOOKUP(A251,[3]SE_SUMMIT_2050_US40_Richardson_!$A:$Y,24,FALSE)</f>
        <v>0</v>
      </c>
      <c r="P251">
        <f>VLOOKUP(A251,[3]SE_SUMMIT_2050_US40_Richardson_!$A:$Y,25,FALSE)</f>
        <v>0</v>
      </c>
      <c r="Q251">
        <f>VLOOKUP(A251,[3]SE_SUMMIT_2050_US40_Richardson_!$A:$Z,26,FALSE)</f>
        <v>0</v>
      </c>
      <c r="R251">
        <f t="shared" si="12"/>
        <v>0</v>
      </c>
      <c r="S251">
        <f t="shared" si="13"/>
        <v>0</v>
      </c>
      <c r="T251">
        <f t="shared" si="14"/>
        <v>0</v>
      </c>
      <c r="U251">
        <f t="shared" si="15"/>
        <v>0</v>
      </c>
    </row>
    <row r="252" spans="1:21" x14ac:dyDescent="0.25">
      <c r="A252">
        <v>43251</v>
      </c>
      <c r="B252">
        <v>0</v>
      </c>
      <c r="C252">
        <v>0</v>
      </c>
      <c r="D252">
        <v>0</v>
      </c>
      <c r="E252">
        <v>0</v>
      </c>
      <c r="F252">
        <f>VLOOKUP(A252,[1]SE_SUMMIT_2032_US40!$A:$Y,23,FALSE)</f>
        <v>0</v>
      </c>
      <c r="G252">
        <f>VLOOKUP(A252,[1]SE_SUMMIT_2032_US40!$A:$Y,24,FALSE)</f>
        <v>0</v>
      </c>
      <c r="H252">
        <f>VLOOKUP(A252,[1]SE_SUMMIT_2032_US40!$A:$Y,25,FALSE)</f>
        <v>0</v>
      </c>
      <c r="I252">
        <f>VLOOKUP(A252,[1]SE_SUMMIT_2032_US40!$A:$Z,26,FALSE)</f>
        <v>0</v>
      </c>
      <c r="J252">
        <f>VLOOKUP(A252,[2]SE_SUMMIT_2042_US40!$A:$Y,23,FALSE)</f>
        <v>0</v>
      </c>
      <c r="K252">
        <f>VLOOKUP(A252,[2]SE_SUMMIT_2042_US40!$A:$Y,24,FALSE)</f>
        <v>0</v>
      </c>
      <c r="L252">
        <f>VLOOKUP(A252,[2]SE_SUMMIT_2042_US40!$A:$Y,25,FALSE)</f>
        <v>0</v>
      </c>
      <c r="M252">
        <f>VLOOKUP(A252,[2]SE_SUMMIT_2042_US40!$A:$Z,26,FALSE)</f>
        <v>0</v>
      </c>
      <c r="N252">
        <f>VLOOKUP(A252,[3]SE_SUMMIT_2050_US40_Richardson_!$A:$Y,23,FALSE)</f>
        <v>0</v>
      </c>
      <c r="O252">
        <f>VLOOKUP(A252,[3]SE_SUMMIT_2050_US40_Richardson_!$A:$Y,24,FALSE)</f>
        <v>0</v>
      </c>
      <c r="P252">
        <f>VLOOKUP(A252,[3]SE_SUMMIT_2050_US40_Richardson_!$A:$Y,25,FALSE)</f>
        <v>0</v>
      </c>
      <c r="Q252">
        <f>VLOOKUP(A252,[3]SE_SUMMIT_2050_US40_Richardson_!$A:$Z,26,FALSE)</f>
        <v>0</v>
      </c>
      <c r="R252">
        <f t="shared" si="12"/>
        <v>0</v>
      </c>
      <c r="S252">
        <f t="shared" si="13"/>
        <v>0</v>
      </c>
      <c r="T252">
        <f t="shared" si="14"/>
        <v>0</v>
      </c>
      <c r="U252">
        <f t="shared" si="15"/>
        <v>0</v>
      </c>
    </row>
    <row r="253" spans="1:21" x14ac:dyDescent="0.25">
      <c r="A253">
        <v>43252</v>
      </c>
      <c r="B253">
        <v>0</v>
      </c>
      <c r="C253">
        <v>0</v>
      </c>
      <c r="D253">
        <v>0</v>
      </c>
      <c r="E253">
        <v>0</v>
      </c>
      <c r="F253">
        <f>VLOOKUP(A253,[1]SE_SUMMIT_2032_US40!$A:$Y,23,FALSE)</f>
        <v>0</v>
      </c>
      <c r="G253">
        <f>VLOOKUP(A253,[1]SE_SUMMIT_2032_US40!$A:$Y,24,FALSE)</f>
        <v>0</v>
      </c>
      <c r="H253">
        <f>VLOOKUP(A253,[1]SE_SUMMIT_2032_US40!$A:$Y,25,FALSE)</f>
        <v>0</v>
      </c>
      <c r="I253">
        <f>VLOOKUP(A253,[1]SE_SUMMIT_2032_US40!$A:$Z,26,FALSE)</f>
        <v>0</v>
      </c>
      <c r="J253">
        <f>VLOOKUP(A253,[2]SE_SUMMIT_2042_US40!$A:$Y,23,FALSE)</f>
        <v>0</v>
      </c>
      <c r="K253">
        <f>VLOOKUP(A253,[2]SE_SUMMIT_2042_US40!$A:$Y,24,FALSE)</f>
        <v>0</v>
      </c>
      <c r="L253">
        <f>VLOOKUP(A253,[2]SE_SUMMIT_2042_US40!$A:$Y,25,FALSE)</f>
        <v>0</v>
      </c>
      <c r="M253">
        <f>VLOOKUP(A253,[2]SE_SUMMIT_2042_US40!$A:$Z,26,FALSE)</f>
        <v>0</v>
      </c>
      <c r="N253">
        <f>VLOOKUP(A253,[3]SE_SUMMIT_2050_US40_Richardson_!$A:$Y,23,FALSE)</f>
        <v>0</v>
      </c>
      <c r="O253">
        <f>VLOOKUP(A253,[3]SE_SUMMIT_2050_US40_Richardson_!$A:$Y,24,FALSE)</f>
        <v>0</v>
      </c>
      <c r="P253">
        <f>VLOOKUP(A253,[3]SE_SUMMIT_2050_US40_Richardson_!$A:$Y,25,FALSE)</f>
        <v>0</v>
      </c>
      <c r="Q253">
        <f>VLOOKUP(A253,[3]SE_SUMMIT_2050_US40_Richardson_!$A:$Z,26,FALSE)</f>
        <v>0</v>
      </c>
      <c r="R253">
        <f t="shared" si="12"/>
        <v>0</v>
      </c>
      <c r="S253">
        <f t="shared" si="13"/>
        <v>0</v>
      </c>
      <c r="T253">
        <f t="shared" si="14"/>
        <v>0</v>
      </c>
      <c r="U253">
        <f t="shared" si="15"/>
        <v>0</v>
      </c>
    </row>
    <row r="254" spans="1:21" x14ac:dyDescent="0.25">
      <c r="A254">
        <v>43253</v>
      </c>
      <c r="B254">
        <v>0</v>
      </c>
      <c r="C254">
        <v>0</v>
      </c>
      <c r="D254">
        <v>0</v>
      </c>
      <c r="E254">
        <v>0</v>
      </c>
      <c r="F254">
        <f>VLOOKUP(A254,[1]SE_SUMMIT_2032_US40!$A:$Y,23,FALSE)</f>
        <v>0</v>
      </c>
      <c r="G254">
        <f>VLOOKUP(A254,[1]SE_SUMMIT_2032_US40!$A:$Y,24,FALSE)</f>
        <v>0</v>
      </c>
      <c r="H254">
        <f>VLOOKUP(A254,[1]SE_SUMMIT_2032_US40!$A:$Y,25,FALSE)</f>
        <v>0</v>
      </c>
      <c r="I254">
        <f>VLOOKUP(A254,[1]SE_SUMMIT_2032_US40!$A:$Z,26,FALSE)</f>
        <v>0</v>
      </c>
      <c r="J254">
        <f>VLOOKUP(A254,[2]SE_SUMMIT_2042_US40!$A:$Y,23,FALSE)</f>
        <v>0</v>
      </c>
      <c r="K254">
        <f>VLOOKUP(A254,[2]SE_SUMMIT_2042_US40!$A:$Y,24,FALSE)</f>
        <v>0</v>
      </c>
      <c r="L254">
        <f>VLOOKUP(A254,[2]SE_SUMMIT_2042_US40!$A:$Y,25,FALSE)</f>
        <v>0</v>
      </c>
      <c r="M254">
        <f>VLOOKUP(A254,[2]SE_SUMMIT_2042_US40!$A:$Z,26,FALSE)</f>
        <v>0</v>
      </c>
      <c r="N254">
        <f>VLOOKUP(A254,[3]SE_SUMMIT_2050_US40_Richardson_!$A:$Y,23,FALSE)</f>
        <v>0</v>
      </c>
      <c r="O254">
        <f>VLOOKUP(A254,[3]SE_SUMMIT_2050_US40_Richardson_!$A:$Y,24,FALSE)</f>
        <v>0</v>
      </c>
      <c r="P254">
        <f>VLOOKUP(A254,[3]SE_SUMMIT_2050_US40_Richardson_!$A:$Y,25,FALSE)</f>
        <v>0</v>
      </c>
      <c r="Q254">
        <f>VLOOKUP(A254,[3]SE_SUMMIT_2050_US40_Richardson_!$A:$Z,26,FALSE)</f>
        <v>0</v>
      </c>
      <c r="R254">
        <f t="shared" si="12"/>
        <v>0</v>
      </c>
      <c r="S254">
        <f t="shared" si="13"/>
        <v>0</v>
      </c>
      <c r="T254">
        <f t="shared" si="14"/>
        <v>0</v>
      </c>
      <c r="U254">
        <f t="shared" si="15"/>
        <v>0</v>
      </c>
    </row>
    <row r="255" spans="1:21" x14ac:dyDescent="0.25">
      <c r="A255">
        <v>43254</v>
      </c>
      <c r="B255">
        <v>0</v>
      </c>
      <c r="C255">
        <v>0</v>
      </c>
      <c r="D255">
        <v>0</v>
      </c>
      <c r="E255">
        <v>0</v>
      </c>
      <c r="F255">
        <f>VLOOKUP(A255,[1]SE_SUMMIT_2032_US40!$A:$Y,23,FALSE)</f>
        <v>0</v>
      </c>
      <c r="G255">
        <f>VLOOKUP(A255,[1]SE_SUMMIT_2032_US40!$A:$Y,24,FALSE)</f>
        <v>0</v>
      </c>
      <c r="H255">
        <f>VLOOKUP(A255,[1]SE_SUMMIT_2032_US40!$A:$Y,25,FALSE)</f>
        <v>0</v>
      </c>
      <c r="I255">
        <f>VLOOKUP(A255,[1]SE_SUMMIT_2032_US40!$A:$Z,26,FALSE)</f>
        <v>0</v>
      </c>
      <c r="J255">
        <f>VLOOKUP(A255,[2]SE_SUMMIT_2042_US40!$A:$Y,23,FALSE)</f>
        <v>0</v>
      </c>
      <c r="K255">
        <f>VLOOKUP(A255,[2]SE_SUMMIT_2042_US40!$A:$Y,24,FALSE)</f>
        <v>0</v>
      </c>
      <c r="L255">
        <f>VLOOKUP(A255,[2]SE_SUMMIT_2042_US40!$A:$Y,25,FALSE)</f>
        <v>0</v>
      </c>
      <c r="M255">
        <f>VLOOKUP(A255,[2]SE_SUMMIT_2042_US40!$A:$Z,26,FALSE)</f>
        <v>0</v>
      </c>
      <c r="N255">
        <f>VLOOKUP(A255,[3]SE_SUMMIT_2050_US40_Richardson_!$A:$Y,23,FALSE)</f>
        <v>0</v>
      </c>
      <c r="O255">
        <f>VLOOKUP(A255,[3]SE_SUMMIT_2050_US40_Richardson_!$A:$Y,24,FALSE)</f>
        <v>0</v>
      </c>
      <c r="P255">
        <f>VLOOKUP(A255,[3]SE_SUMMIT_2050_US40_Richardson_!$A:$Y,25,FALSE)</f>
        <v>0</v>
      </c>
      <c r="Q255">
        <f>VLOOKUP(A255,[3]SE_SUMMIT_2050_US40_Richardson_!$A:$Z,26,FALSE)</f>
        <v>0</v>
      </c>
      <c r="R255">
        <f t="shared" si="12"/>
        <v>0</v>
      </c>
      <c r="S255">
        <f t="shared" si="13"/>
        <v>0</v>
      </c>
      <c r="T255">
        <f t="shared" si="14"/>
        <v>0</v>
      </c>
      <c r="U255">
        <f t="shared" si="15"/>
        <v>0</v>
      </c>
    </row>
    <row r="256" spans="1:21" x14ac:dyDescent="0.25">
      <c r="A256">
        <v>43255</v>
      </c>
      <c r="B256">
        <v>0</v>
      </c>
      <c r="C256">
        <v>0</v>
      </c>
      <c r="D256">
        <v>0</v>
      </c>
      <c r="E256">
        <v>0</v>
      </c>
      <c r="F256">
        <f>VLOOKUP(A256,[1]SE_SUMMIT_2032_US40!$A:$Y,23,FALSE)</f>
        <v>0</v>
      </c>
      <c r="G256">
        <f>VLOOKUP(A256,[1]SE_SUMMIT_2032_US40!$A:$Y,24,FALSE)</f>
        <v>0</v>
      </c>
      <c r="H256">
        <f>VLOOKUP(A256,[1]SE_SUMMIT_2032_US40!$A:$Y,25,FALSE)</f>
        <v>0</v>
      </c>
      <c r="I256">
        <f>VLOOKUP(A256,[1]SE_SUMMIT_2032_US40!$A:$Z,26,FALSE)</f>
        <v>0</v>
      </c>
      <c r="J256">
        <f>VLOOKUP(A256,[2]SE_SUMMIT_2042_US40!$A:$Y,23,FALSE)</f>
        <v>0</v>
      </c>
      <c r="K256">
        <f>VLOOKUP(A256,[2]SE_SUMMIT_2042_US40!$A:$Y,24,FALSE)</f>
        <v>0</v>
      </c>
      <c r="L256">
        <f>VLOOKUP(A256,[2]SE_SUMMIT_2042_US40!$A:$Y,25,FALSE)</f>
        <v>0</v>
      </c>
      <c r="M256">
        <f>VLOOKUP(A256,[2]SE_SUMMIT_2042_US40!$A:$Z,26,FALSE)</f>
        <v>0</v>
      </c>
      <c r="N256">
        <f>VLOOKUP(A256,[3]SE_SUMMIT_2050_US40_Richardson_!$A:$Y,23,FALSE)</f>
        <v>0</v>
      </c>
      <c r="O256">
        <f>VLOOKUP(A256,[3]SE_SUMMIT_2050_US40_Richardson_!$A:$Y,24,FALSE)</f>
        <v>0</v>
      </c>
      <c r="P256">
        <f>VLOOKUP(A256,[3]SE_SUMMIT_2050_US40_Richardson_!$A:$Y,25,FALSE)</f>
        <v>0</v>
      </c>
      <c r="Q256">
        <f>VLOOKUP(A256,[3]SE_SUMMIT_2050_US40_Richardson_!$A:$Z,26,FALSE)</f>
        <v>0</v>
      </c>
      <c r="R256">
        <f t="shared" si="12"/>
        <v>0</v>
      </c>
      <c r="S256">
        <f t="shared" si="13"/>
        <v>0</v>
      </c>
      <c r="T256">
        <f t="shared" si="14"/>
        <v>0</v>
      </c>
      <c r="U256">
        <f t="shared" si="15"/>
        <v>0</v>
      </c>
    </row>
    <row r="257" spans="1:21" x14ac:dyDescent="0.25">
      <c r="A257">
        <v>43256</v>
      </c>
      <c r="B257">
        <v>0</v>
      </c>
      <c r="C257">
        <v>0</v>
      </c>
      <c r="D257">
        <v>0</v>
      </c>
      <c r="E257">
        <v>0</v>
      </c>
      <c r="F257">
        <f>VLOOKUP(A257,[1]SE_SUMMIT_2032_US40!$A:$Y,23,FALSE)</f>
        <v>0</v>
      </c>
      <c r="G257">
        <f>VLOOKUP(A257,[1]SE_SUMMIT_2032_US40!$A:$Y,24,FALSE)</f>
        <v>0</v>
      </c>
      <c r="H257">
        <f>VLOOKUP(A257,[1]SE_SUMMIT_2032_US40!$A:$Y,25,FALSE)</f>
        <v>0</v>
      </c>
      <c r="I257">
        <f>VLOOKUP(A257,[1]SE_SUMMIT_2032_US40!$A:$Z,26,FALSE)</f>
        <v>0</v>
      </c>
      <c r="J257">
        <f>VLOOKUP(A257,[2]SE_SUMMIT_2042_US40!$A:$Y,23,FALSE)</f>
        <v>0</v>
      </c>
      <c r="K257">
        <f>VLOOKUP(A257,[2]SE_SUMMIT_2042_US40!$A:$Y,24,FALSE)</f>
        <v>0</v>
      </c>
      <c r="L257">
        <f>VLOOKUP(A257,[2]SE_SUMMIT_2042_US40!$A:$Y,25,FALSE)</f>
        <v>0</v>
      </c>
      <c r="M257">
        <f>VLOOKUP(A257,[2]SE_SUMMIT_2042_US40!$A:$Z,26,FALSE)</f>
        <v>0</v>
      </c>
      <c r="N257">
        <f>VLOOKUP(A257,[3]SE_SUMMIT_2050_US40_Richardson_!$A:$Y,23,FALSE)</f>
        <v>0</v>
      </c>
      <c r="O257">
        <f>VLOOKUP(A257,[3]SE_SUMMIT_2050_US40_Richardson_!$A:$Y,24,FALSE)</f>
        <v>0</v>
      </c>
      <c r="P257">
        <f>VLOOKUP(A257,[3]SE_SUMMIT_2050_US40_Richardson_!$A:$Y,25,FALSE)</f>
        <v>0</v>
      </c>
      <c r="Q257">
        <f>VLOOKUP(A257,[3]SE_SUMMIT_2050_US40_Richardson_!$A:$Z,26,FALSE)</f>
        <v>0</v>
      </c>
      <c r="R257">
        <f t="shared" si="12"/>
        <v>0</v>
      </c>
      <c r="S257">
        <f t="shared" si="13"/>
        <v>0</v>
      </c>
      <c r="T257">
        <f t="shared" si="14"/>
        <v>0</v>
      </c>
      <c r="U257">
        <f t="shared" si="15"/>
        <v>0</v>
      </c>
    </row>
    <row r="258" spans="1:21" x14ac:dyDescent="0.25">
      <c r="A258">
        <v>43257</v>
      </c>
      <c r="B258">
        <v>0</v>
      </c>
      <c r="C258">
        <v>0</v>
      </c>
      <c r="D258">
        <v>0</v>
      </c>
      <c r="E258">
        <v>0</v>
      </c>
      <c r="F258">
        <f>VLOOKUP(A258,[1]SE_SUMMIT_2032_US40!$A:$Y,23,FALSE)</f>
        <v>0</v>
      </c>
      <c r="G258">
        <f>VLOOKUP(A258,[1]SE_SUMMIT_2032_US40!$A:$Y,24,FALSE)</f>
        <v>0</v>
      </c>
      <c r="H258">
        <f>VLOOKUP(A258,[1]SE_SUMMIT_2032_US40!$A:$Y,25,FALSE)</f>
        <v>0</v>
      </c>
      <c r="I258">
        <f>VLOOKUP(A258,[1]SE_SUMMIT_2032_US40!$A:$Z,26,FALSE)</f>
        <v>0</v>
      </c>
      <c r="J258">
        <f>VLOOKUP(A258,[2]SE_SUMMIT_2042_US40!$A:$Y,23,FALSE)</f>
        <v>0</v>
      </c>
      <c r="K258">
        <f>VLOOKUP(A258,[2]SE_SUMMIT_2042_US40!$A:$Y,24,FALSE)</f>
        <v>0</v>
      </c>
      <c r="L258">
        <f>VLOOKUP(A258,[2]SE_SUMMIT_2042_US40!$A:$Y,25,FALSE)</f>
        <v>0</v>
      </c>
      <c r="M258">
        <f>VLOOKUP(A258,[2]SE_SUMMIT_2042_US40!$A:$Z,26,FALSE)</f>
        <v>0</v>
      </c>
      <c r="N258">
        <f>VLOOKUP(A258,[3]SE_SUMMIT_2050_US40_Richardson_!$A:$Y,23,FALSE)</f>
        <v>0</v>
      </c>
      <c r="O258">
        <f>VLOOKUP(A258,[3]SE_SUMMIT_2050_US40_Richardson_!$A:$Y,24,FALSE)</f>
        <v>0</v>
      </c>
      <c r="P258">
        <f>VLOOKUP(A258,[3]SE_SUMMIT_2050_US40_Richardson_!$A:$Y,25,FALSE)</f>
        <v>0</v>
      </c>
      <c r="Q258">
        <f>VLOOKUP(A258,[3]SE_SUMMIT_2050_US40_Richardson_!$A:$Z,26,FALSE)</f>
        <v>0</v>
      </c>
      <c r="R258">
        <f t="shared" si="12"/>
        <v>0</v>
      </c>
      <c r="S258">
        <f t="shared" si="13"/>
        <v>0</v>
      </c>
      <c r="T258">
        <f t="shared" si="14"/>
        <v>0</v>
      </c>
      <c r="U258">
        <f t="shared" si="15"/>
        <v>0</v>
      </c>
    </row>
    <row r="259" spans="1:21" x14ac:dyDescent="0.25">
      <c r="A259">
        <v>43258</v>
      </c>
      <c r="B259">
        <v>0</v>
      </c>
      <c r="C259">
        <v>0</v>
      </c>
      <c r="D259">
        <v>0</v>
      </c>
      <c r="E259">
        <v>0</v>
      </c>
      <c r="F259">
        <f>VLOOKUP(A259,[1]SE_SUMMIT_2032_US40!$A:$Y,23,FALSE)</f>
        <v>0</v>
      </c>
      <c r="G259">
        <f>VLOOKUP(A259,[1]SE_SUMMIT_2032_US40!$A:$Y,24,FALSE)</f>
        <v>0</v>
      </c>
      <c r="H259">
        <f>VLOOKUP(A259,[1]SE_SUMMIT_2032_US40!$A:$Y,25,FALSE)</f>
        <v>0</v>
      </c>
      <c r="I259">
        <f>VLOOKUP(A259,[1]SE_SUMMIT_2032_US40!$A:$Z,26,FALSE)</f>
        <v>0</v>
      </c>
      <c r="J259">
        <f>VLOOKUP(A259,[2]SE_SUMMIT_2042_US40!$A:$Y,23,FALSE)</f>
        <v>0</v>
      </c>
      <c r="K259">
        <f>VLOOKUP(A259,[2]SE_SUMMIT_2042_US40!$A:$Y,24,FALSE)</f>
        <v>0</v>
      </c>
      <c r="L259">
        <f>VLOOKUP(A259,[2]SE_SUMMIT_2042_US40!$A:$Y,25,FALSE)</f>
        <v>0</v>
      </c>
      <c r="M259">
        <f>VLOOKUP(A259,[2]SE_SUMMIT_2042_US40!$A:$Z,26,FALSE)</f>
        <v>0</v>
      </c>
      <c r="N259">
        <f>VLOOKUP(A259,[3]SE_SUMMIT_2050_US40_Richardson_!$A:$Y,23,FALSE)</f>
        <v>0</v>
      </c>
      <c r="O259">
        <f>VLOOKUP(A259,[3]SE_SUMMIT_2050_US40_Richardson_!$A:$Y,24,FALSE)</f>
        <v>0</v>
      </c>
      <c r="P259">
        <f>VLOOKUP(A259,[3]SE_SUMMIT_2050_US40_Richardson_!$A:$Y,25,FALSE)</f>
        <v>0</v>
      </c>
      <c r="Q259">
        <f>VLOOKUP(A259,[3]SE_SUMMIT_2050_US40_Richardson_!$A:$Z,26,FALSE)</f>
        <v>0</v>
      </c>
      <c r="R259">
        <f t="shared" ref="R259:R279" si="16">N259-B259</f>
        <v>0</v>
      </c>
      <c r="S259">
        <f t="shared" ref="S259:S279" si="17">O259-C259</f>
        <v>0</v>
      </c>
      <c r="T259">
        <f t="shared" ref="T259:T279" si="18">P259-D259</f>
        <v>0</v>
      </c>
      <c r="U259">
        <f t="shared" ref="U259:U279" si="19">Q259-E259</f>
        <v>0</v>
      </c>
    </row>
    <row r="260" spans="1:21" x14ac:dyDescent="0.25">
      <c r="A260">
        <v>43259</v>
      </c>
      <c r="B260">
        <v>0</v>
      </c>
      <c r="C260">
        <v>0</v>
      </c>
      <c r="D260">
        <v>22</v>
      </c>
      <c r="E260">
        <v>0</v>
      </c>
      <c r="F260">
        <f>VLOOKUP(A260,[1]SE_SUMMIT_2032_US40!$A:$Y,23,FALSE)</f>
        <v>0</v>
      </c>
      <c r="G260">
        <f>VLOOKUP(A260,[1]SE_SUMMIT_2032_US40!$A:$Y,24,FALSE)</f>
        <v>0</v>
      </c>
      <c r="H260">
        <f>VLOOKUP(A260,[1]SE_SUMMIT_2032_US40!$A:$Y,25,FALSE)</f>
        <v>22</v>
      </c>
      <c r="I260">
        <f>VLOOKUP(A260,[1]SE_SUMMIT_2032_US40!$A:$Z,26,FALSE)</f>
        <v>0</v>
      </c>
      <c r="J260">
        <f>VLOOKUP(A260,[2]SE_SUMMIT_2042_US40!$A:$Y,23,FALSE)</f>
        <v>0</v>
      </c>
      <c r="K260">
        <f>VLOOKUP(A260,[2]SE_SUMMIT_2042_US40!$A:$Y,24,FALSE)</f>
        <v>0</v>
      </c>
      <c r="L260">
        <f>VLOOKUP(A260,[2]SE_SUMMIT_2042_US40!$A:$Y,25,FALSE)</f>
        <v>22</v>
      </c>
      <c r="M260">
        <f>VLOOKUP(A260,[2]SE_SUMMIT_2042_US40!$A:$Z,26,FALSE)</f>
        <v>0</v>
      </c>
      <c r="N260">
        <f>VLOOKUP(A260,[3]SE_SUMMIT_2050_US40_Richardson_!$A:$Y,23,FALSE)</f>
        <v>0</v>
      </c>
      <c r="O260">
        <f>VLOOKUP(A260,[3]SE_SUMMIT_2050_US40_Richardson_!$A:$Y,24,FALSE)</f>
        <v>0</v>
      </c>
      <c r="P260">
        <f>VLOOKUP(A260,[3]SE_SUMMIT_2050_US40_Richardson_!$A:$Y,25,FALSE)</f>
        <v>22</v>
      </c>
      <c r="Q260">
        <f>VLOOKUP(A260,[3]SE_SUMMIT_2050_US40_Richardson_!$A:$Z,26,FALSE)</f>
        <v>0</v>
      </c>
      <c r="R260">
        <f t="shared" si="16"/>
        <v>0</v>
      </c>
      <c r="S260">
        <f t="shared" si="17"/>
        <v>0</v>
      </c>
      <c r="T260">
        <f t="shared" si="18"/>
        <v>0</v>
      </c>
      <c r="U260">
        <f t="shared" si="19"/>
        <v>0</v>
      </c>
    </row>
    <row r="261" spans="1:21" x14ac:dyDescent="0.25">
      <c r="A261">
        <v>43260</v>
      </c>
      <c r="B261">
        <v>0</v>
      </c>
      <c r="C261">
        <v>0</v>
      </c>
      <c r="D261">
        <v>0</v>
      </c>
      <c r="E261">
        <v>0</v>
      </c>
      <c r="F261">
        <f>VLOOKUP(A261,[1]SE_SUMMIT_2032_US40!$A:$Y,23,FALSE)</f>
        <v>0</v>
      </c>
      <c r="G261">
        <f>VLOOKUP(A261,[1]SE_SUMMIT_2032_US40!$A:$Y,24,FALSE)</f>
        <v>0</v>
      </c>
      <c r="H261">
        <f>VLOOKUP(A261,[1]SE_SUMMIT_2032_US40!$A:$Y,25,FALSE)</f>
        <v>0</v>
      </c>
      <c r="I261">
        <f>VLOOKUP(A261,[1]SE_SUMMIT_2032_US40!$A:$Z,26,FALSE)</f>
        <v>0</v>
      </c>
      <c r="J261">
        <f>VLOOKUP(A261,[2]SE_SUMMIT_2042_US40!$A:$Y,23,FALSE)</f>
        <v>0</v>
      </c>
      <c r="K261">
        <f>VLOOKUP(A261,[2]SE_SUMMIT_2042_US40!$A:$Y,24,FALSE)</f>
        <v>0</v>
      </c>
      <c r="L261">
        <f>VLOOKUP(A261,[2]SE_SUMMIT_2042_US40!$A:$Y,25,FALSE)</f>
        <v>0</v>
      </c>
      <c r="M261">
        <f>VLOOKUP(A261,[2]SE_SUMMIT_2042_US40!$A:$Z,26,FALSE)</f>
        <v>0</v>
      </c>
      <c r="N261">
        <f>VLOOKUP(A261,[3]SE_SUMMIT_2050_US40_Richardson_!$A:$Y,23,FALSE)</f>
        <v>0</v>
      </c>
      <c r="O261">
        <f>VLOOKUP(A261,[3]SE_SUMMIT_2050_US40_Richardson_!$A:$Y,24,FALSE)</f>
        <v>0</v>
      </c>
      <c r="P261">
        <f>VLOOKUP(A261,[3]SE_SUMMIT_2050_US40_Richardson_!$A:$Y,25,FALSE)</f>
        <v>0</v>
      </c>
      <c r="Q261">
        <f>VLOOKUP(A261,[3]SE_SUMMIT_2050_US40_Richardson_!$A:$Z,26,FALSE)</f>
        <v>0</v>
      </c>
      <c r="R261">
        <f t="shared" si="16"/>
        <v>0</v>
      </c>
      <c r="S261">
        <f t="shared" si="17"/>
        <v>0</v>
      </c>
      <c r="T261">
        <f t="shared" si="18"/>
        <v>0</v>
      </c>
      <c r="U261">
        <f t="shared" si="19"/>
        <v>0</v>
      </c>
    </row>
    <row r="262" spans="1:21" x14ac:dyDescent="0.25">
      <c r="A262">
        <v>43261</v>
      </c>
      <c r="B262">
        <v>16</v>
      </c>
      <c r="C262">
        <v>0</v>
      </c>
      <c r="D262">
        <v>0</v>
      </c>
      <c r="E262">
        <v>0</v>
      </c>
      <c r="F262">
        <f>VLOOKUP(A262,[1]SE_SUMMIT_2032_US40!$A:$Y,23,FALSE)</f>
        <v>16</v>
      </c>
      <c r="G262">
        <f>VLOOKUP(A262,[1]SE_SUMMIT_2032_US40!$A:$Y,24,FALSE)</f>
        <v>0</v>
      </c>
      <c r="H262">
        <f>VLOOKUP(A262,[1]SE_SUMMIT_2032_US40!$A:$Y,25,FALSE)</f>
        <v>0</v>
      </c>
      <c r="I262">
        <f>VLOOKUP(A262,[1]SE_SUMMIT_2032_US40!$A:$Z,26,FALSE)</f>
        <v>0</v>
      </c>
      <c r="J262">
        <f>VLOOKUP(A262,[2]SE_SUMMIT_2042_US40!$A:$Y,23,FALSE)</f>
        <v>16</v>
      </c>
      <c r="K262">
        <f>VLOOKUP(A262,[2]SE_SUMMIT_2042_US40!$A:$Y,24,FALSE)</f>
        <v>0</v>
      </c>
      <c r="L262">
        <f>VLOOKUP(A262,[2]SE_SUMMIT_2042_US40!$A:$Y,25,FALSE)</f>
        <v>0</v>
      </c>
      <c r="M262">
        <f>VLOOKUP(A262,[2]SE_SUMMIT_2042_US40!$A:$Z,26,FALSE)</f>
        <v>0</v>
      </c>
      <c r="N262">
        <f>VLOOKUP(A262,[3]SE_SUMMIT_2050_US40_Richardson_!$A:$Y,23,FALSE)</f>
        <v>16</v>
      </c>
      <c r="O262">
        <f>VLOOKUP(A262,[3]SE_SUMMIT_2050_US40_Richardson_!$A:$Y,24,FALSE)</f>
        <v>0</v>
      </c>
      <c r="P262">
        <f>VLOOKUP(A262,[3]SE_SUMMIT_2050_US40_Richardson_!$A:$Y,25,FALSE)</f>
        <v>0</v>
      </c>
      <c r="Q262">
        <f>VLOOKUP(A262,[3]SE_SUMMIT_2050_US40_Richardson_!$A:$Z,26,FALSE)</f>
        <v>0</v>
      </c>
      <c r="R262">
        <f t="shared" si="16"/>
        <v>0</v>
      </c>
      <c r="S262">
        <f t="shared" si="17"/>
        <v>0</v>
      </c>
      <c r="T262">
        <f t="shared" si="18"/>
        <v>0</v>
      </c>
      <c r="U262">
        <f t="shared" si="19"/>
        <v>0</v>
      </c>
    </row>
    <row r="263" spans="1:21" x14ac:dyDescent="0.25">
      <c r="A263">
        <v>43262</v>
      </c>
      <c r="B263">
        <v>0</v>
      </c>
      <c r="C263">
        <v>0</v>
      </c>
      <c r="D263">
        <v>0</v>
      </c>
      <c r="E263">
        <v>0</v>
      </c>
      <c r="F263">
        <f>VLOOKUP(A263,[1]SE_SUMMIT_2032_US40!$A:$Y,23,FALSE)</f>
        <v>0</v>
      </c>
      <c r="G263">
        <f>VLOOKUP(A263,[1]SE_SUMMIT_2032_US40!$A:$Y,24,FALSE)</f>
        <v>0</v>
      </c>
      <c r="H263">
        <f>VLOOKUP(A263,[1]SE_SUMMIT_2032_US40!$A:$Y,25,FALSE)</f>
        <v>0</v>
      </c>
      <c r="I263">
        <f>VLOOKUP(A263,[1]SE_SUMMIT_2032_US40!$A:$Z,26,FALSE)</f>
        <v>0</v>
      </c>
      <c r="J263">
        <f>VLOOKUP(A263,[2]SE_SUMMIT_2042_US40!$A:$Y,23,FALSE)</f>
        <v>0</v>
      </c>
      <c r="K263">
        <f>VLOOKUP(A263,[2]SE_SUMMIT_2042_US40!$A:$Y,24,FALSE)</f>
        <v>0</v>
      </c>
      <c r="L263">
        <f>VLOOKUP(A263,[2]SE_SUMMIT_2042_US40!$A:$Y,25,FALSE)</f>
        <v>0</v>
      </c>
      <c r="M263">
        <f>VLOOKUP(A263,[2]SE_SUMMIT_2042_US40!$A:$Z,26,FALSE)</f>
        <v>0</v>
      </c>
      <c r="N263">
        <f>VLOOKUP(A263,[3]SE_SUMMIT_2050_US40_Richardson_!$A:$Y,23,FALSE)</f>
        <v>0</v>
      </c>
      <c r="O263">
        <f>VLOOKUP(A263,[3]SE_SUMMIT_2050_US40_Richardson_!$A:$Y,24,FALSE)</f>
        <v>0</v>
      </c>
      <c r="P263">
        <f>VLOOKUP(A263,[3]SE_SUMMIT_2050_US40_Richardson_!$A:$Y,25,FALSE)</f>
        <v>0</v>
      </c>
      <c r="Q263">
        <f>VLOOKUP(A263,[3]SE_SUMMIT_2050_US40_Richardson_!$A:$Z,26,FALSE)</f>
        <v>0</v>
      </c>
      <c r="R263">
        <f t="shared" si="16"/>
        <v>0</v>
      </c>
      <c r="S263">
        <f t="shared" si="17"/>
        <v>0</v>
      </c>
      <c r="T263">
        <f t="shared" si="18"/>
        <v>0</v>
      </c>
      <c r="U263">
        <f t="shared" si="19"/>
        <v>0</v>
      </c>
    </row>
    <row r="264" spans="1:21" x14ac:dyDescent="0.25">
      <c r="A264">
        <v>43263</v>
      </c>
      <c r="B264">
        <v>0</v>
      </c>
      <c r="C264">
        <v>0</v>
      </c>
      <c r="D264">
        <v>0</v>
      </c>
      <c r="E264">
        <v>0</v>
      </c>
      <c r="F264">
        <f>VLOOKUP(A264,[1]SE_SUMMIT_2032_US40!$A:$Y,23,FALSE)</f>
        <v>0</v>
      </c>
      <c r="G264">
        <f>VLOOKUP(A264,[1]SE_SUMMIT_2032_US40!$A:$Y,24,FALSE)</f>
        <v>0</v>
      </c>
      <c r="H264">
        <f>VLOOKUP(A264,[1]SE_SUMMIT_2032_US40!$A:$Y,25,FALSE)</f>
        <v>0</v>
      </c>
      <c r="I264">
        <f>VLOOKUP(A264,[1]SE_SUMMIT_2032_US40!$A:$Z,26,FALSE)</f>
        <v>0</v>
      </c>
      <c r="J264">
        <f>VLOOKUP(A264,[2]SE_SUMMIT_2042_US40!$A:$Y,23,FALSE)</f>
        <v>0</v>
      </c>
      <c r="K264">
        <f>VLOOKUP(A264,[2]SE_SUMMIT_2042_US40!$A:$Y,24,FALSE)</f>
        <v>0</v>
      </c>
      <c r="L264">
        <f>VLOOKUP(A264,[2]SE_SUMMIT_2042_US40!$A:$Y,25,FALSE)</f>
        <v>0</v>
      </c>
      <c r="M264">
        <f>VLOOKUP(A264,[2]SE_SUMMIT_2042_US40!$A:$Z,26,FALSE)</f>
        <v>0</v>
      </c>
      <c r="N264">
        <f>VLOOKUP(A264,[3]SE_SUMMIT_2050_US40_Richardson_!$A:$Y,23,FALSE)</f>
        <v>0</v>
      </c>
      <c r="O264">
        <f>VLOOKUP(A264,[3]SE_SUMMIT_2050_US40_Richardson_!$A:$Y,24,FALSE)</f>
        <v>0</v>
      </c>
      <c r="P264">
        <f>VLOOKUP(A264,[3]SE_SUMMIT_2050_US40_Richardson_!$A:$Y,25,FALSE)</f>
        <v>0</v>
      </c>
      <c r="Q264">
        <f>VLOOKUP(A264,[3]SE_SUMMIT_2050_US40_Richardson_!$A:$Z,26,FALSE)</f>
        <v>0</v>
      </c>
      <c r="R264">
        <f t="shared" si="16"/>
        <v>0</v>
      </c>
      <c r="S264">
        <f t="shared" si="17"/>
        <v>0</v>
      </c>
      <c r="T264">
        <f t="shared" si="18"/>
        <v>0</v>
      </c>
      <c r="U264">
        <f t="shared" si="19"/>
        <v>0</v>
      </c>
    </row>
    <row r="265" spans="1:21" x14ac:dyDescent="0.25">
      <c r="A265">
        <v>43264</v>
      </c>
      <c r="B265">
        <v>23</v>
      </c>
      <c r="C265">
        <v>0</v>
      </c>
      <c r="D265">
        <v>0</v>
      </c>
      <c r="E265">
        <v>0</v>
      </c>
      <c r="F265">
        <f>VLOOKUP(A265,[1]SE_SUMMIT_2032_US40!$A:$Y,23,FALSE)</f>
        <v>23</v>
      </c>
      <c r="G265">
        <f>VLOOKUP(A265,[1]SE_SUMMIT_2032_US40!$A:$Y,24,FALSE)</f>
        <v>0</v>
      </c>
      <c r="H265">
        <f>VLOOKUP(A265,[1]SE_SUMMIT_2032_US40!$A:$Y,25,FALSE)</f>
        <v>0</v>
      </c>
      <c r="I265">
        <f>VLOOKUP(A265,[1]SE_SUMMIT_2032_US40!$A:$Z,26,FALSE)</f>
        <v>0</v>
      </c>
      <c r="J265">
        <f>VLOOKUP(A265,[2]SE_SUMMIT_2042_US40!$A:$Y,23,FALSE)</f>
        <v>23</v>
      </c>
      <c r="K265">
        <f>VLOOKUP(A265,[2]SE_SUMMIT_2042_US40!$A:$Y,24,FALSE)</f>
        <v>0</v>
      </c>
      <c r="L265">
        <f>VLOOKUP(A265,[2]SE_SUMMIT_2042_US40!$A:$Y,25,FALSE)</f>
        <v>0</v>
      </c>
      <c r="M265">
        <f>VLOOKUP(A265,[2]SE_SUMMIT_2042_US40!$A:$Z,26,FALSE)</f>
        <v>0</v>
      </c>
      <c r="N265">
        <f>VLOOKUP(A265,[3]SE_SUMMIT_2050_US40_Richardson_!$A:$Y,23,FALSE)</f>
        <v>23</v>
      </c>
      <c r="O265">
        <f>VLOOKUP(A265,[3]SE_SUMMIT_2050_US40_Richardson_!$A:$Y,24,FALSE)</f>
        <v>0</v>
      </c>
      <c r="P265">
        <f>VLOOKUP(A265,[3]SE_SUMMIT_2050_US40_Richardson_!$A:$Y,25,FALSE)</f>
        <v>0</v>
      </c>
      <c r="Q265">
        <f>VLOOKUP(A265,[3]SE_SUMMIT_2050_US40_Richardson_!$A:$Z,26,FALSE)</f>
        <v>0</v>
      </c>
      <c r="R265">
        <f t="shared" si="16"/>
        <v>0</v>
      </c>
      <c r="S265">
        <f t="shared" si="17"/>
        <v>0</v>
      </c>
      <c r="T265">
        <f t="shared" si="18"/>
        <v>0</v>
      </c>
      <c r="U265">
        <f t="shared" si="19"/>
        <v>0</v>
      </c>
    </row>
    <row r="266" spans="1:21" x14ac:dyDescent="0.25">
      <c r="A266">
        <v>43265</v>
      </c>
      <c r="B266">
        <v>0</v>
      </c>
      <c r="C266">
        <v>0</v>
      </c>
      <c r="D266">
        <v>0</v>
      </c>
      <c r="E266">
        <v>0</v>
      </c>
      <c r="F266">
        <f>VLOOKUP(A266,[1]SE_SUMMIT_2032_US40!$A:$Y,23,FALSE)</f>
        <v>0</v>
      </c>
      <c r="G266">
        <f>VLOOKUP(A266,[1]SE_SUMMIT_2032_US40!$A:$Y,24,FALSE)</f>
        <v>0</v>
      </c>
      <c r="H266">
        <f>VLOOKUP(A266,[1]SE_SUMMIT_2032_US40!$A:$Y,25,FALSE)</f>
        <v>0</v>
      </c>
      <c r="I266">
        <f>VLOOKUP(A266,[1]SE_SUMMIT_2032_US40!$A:$Z,26,FALSE)</f>
        <v>0</v>
      </c>
      <c r="J266">
        <f>VLOOKUP(A266,[2]SE_SUMMIT_2042_US40!$A:$Y,23,FALSE)</f>
        <v>0</v>
      </c>
      <c r="K266">
        <f>VLOOKUP(A266,[2]SE_SUMMIT_2042_US40!$A:$Y,24,FALSE)</f>
        <v>0</v>
      </c>
      <c r="L266">
        <f>VLOOKUP(A266,[2]SE_SUMMIT_2042_US40!$A:$Y,25,FALSE)</f>
        <v>0</v>
      </c>
      <c r="M266">
        <f>VLOOKUP(A266,[2]SE_SUMMIT_2042_US40!$A:$Z,26,FALSE)</f>
        <v>0</v>
      </c>
      <c r="N266">
        <f>VLOOKUP(A266,[3]SE_SUMMIT_2050_US40_Richardson_!$A:$Y,23,FALSE)</f>
        <v>0</v>
      </c>
      <c r="O266">
        <f>VLOOKUP(A266,[3]SE_SUMMIT_2050_US40_Richardson_!$A:$Y,24,FALSE)</f>
        <v>0</v>
      </c>
      <c r="P266">
        <f>VLOOKUP(A266,[3]SE_SUMMIT_2050_US40_Richardson_!$A:$Y,25,FALSE)</f>
        <v>0</v>
      </c>
      <c r="Q266">
        <f>VLOOKUP(A266,[3]SE_SUMMIT_2050_US40_Richardson_!$A:$Z,26,FALSE)</f>
        <v>0</v>
      </c>
      <c r="R266">
        <f t="shared" si="16"/>
        <v>0</v>
      </c>
      <c r="S266">
        <f t="shared" si="17"/>
        <v>0</v>
      </c>
      <c r="T266">
        <f t="shared" si="18"/>
        <v>0</v>
      </c>
      <c r="U266">
        <f t="shared" si="19"/>
        <v>0</v>
      </c>
    </row>
    <row r="267" spans="1:21" x14ac:dyDescent="0.25">
      <c r="A267">
        <v>43266</v>
      </c>
      <c r="B267">
        <v>0</v>
      </c>
      <c r="C267">
        <v>0</v>
      </c>
      <c r="D267">
        <v>238</v>
      </c>
      <c r="E267">
        <v>0</v>
      </c>
      <c r="F267">
        <f>VLOOKUP(A267,[1]SE_SUMMIT_2032_US40!$A:$Y,23,FALSE)</f>
        <v>0</v>
      </c>
      <c r="G267">
        <f>VLOOKUP(A267,[1]SE_SUMMIT_2032_US40!$A:$Y,24,FALSE)</f>
        <v>0</v>
      </c>
      <c r="H267">
        <f>VLOOKUP(A267,[1]SE_SUMMIT_2032_US40!$A:$Y,25,FALSE)</f>
        <v>238</v>
      </c>
      <c r="I267">
        <f>VLOOKUP(A267,[1]SE_SUMMIT_2032_US40!$A:$Z,26,FALSE)</f>
        <v>0</v>
      </c>
      <c r="J267">
        <f>VLOOKUP(A267,[2]SE_SUMMIT_2042_US40!$A:$Y,23,FALSE)</f>
        <v>0</v>
      </c>
      <c r="K267">
        <f>VLOOKUP(A267,[2]SE_SUMMIT_2042_US40!$A:$Y,24,FALSE)</f>
        <v>0</v>
      </c>
      <c r="L267">
        <f>VLOOKUP(A267,[2]SE_SUMMIT_2042_US40!$A:$Y,25,FALSE)</f>
        <v>238</v>
      </c>
      <c r="M267">
        <f>VLOOKUP(A267,[2]SE_SUMMIT_2042_US40!$A:$Z,26,FALSE)</f>
        <v>0</v>
      </c>
      <c r="N267">
        <f>VLOOKUP(A267,[3]SE_SUMMIT_2050_US40_Richardson_!$A:$Y,23,FALSE)</f>
        <v>0</v>
      </c>
      <c r="O267">
        <f>VLOOKUP(A267,[3]SE_SUMMIT_2050_US40_Richardson_!$A:$Y,24,FALSE)</f>
        <v>0</v>
      </c>
      <c r="P267">
        <f>VLOOKUP(A267,[3]SE_SUMMIT_2050_US40_Richardson_!$A:$Y,25,FALSE)</f>
        <v>238</v>
      </c>
      <c r="Q267">
        <f>VLOOKUP(A267,[3]SE_SUMMIT_2050_US40_Richardson_!$A:$Z,26,FALSE)</f>
        <v>0</v>
      </c>
      <c r="R267">
        <f t="shared" si="16"/>
        <v>0</v>
      </c>
      <c r="S267">
        <f t="shared" si="17"/>
        <v>0</v>
      </c>
      <c r="T267">
        <f t="shared" si="18"/>
        <v>0</v>
      </c>
      <c r="U267">
        <f t="shared" si="19"/>
        <v>0</v>
      </c>
    </row>
    <row r="268" spans="1:21" x14ac:dyDescent="0.25">
      <c r="A268">
        <v>43267</v>
      </c>
      <c r="B268">
        <v>0</v>
      </c>
      <c r="C268">
        <v>0</v>
      </c>
      <c r="D268">
        <v>0</v>
      </c>
      <c r="E268">
        <v>0</v>
      </c>
      <c r="F268">
        <f>VLOOKUP(A268,[1]SE_SUMMIT_2032_US40!$A:$Y,23,FALSE)</f>
        <v>0</v>
      </c>
      <c r="G268">
        <f>VLOOKUP(A268,[1]SE_SUMMIT_2032_US40!$A:$Y,24,FALSE)</f>
        <v>0</v>
      </c>
      <c r="H268">
        <f>VLOOKUP(A268,[1]SE_SUMMIT_2032_US40!$A:$Y,25,FALSE)</f>
        <v>0</v>
      </c>
      <c r="I268">
        <f>VLOOKUP(A268,[1]SE_SUMMIT_2032_US40!$A:$Z,26,FALSE)</f>
        <v>0</v>
      </c>
      <c r="J268">
        <f>VLOOKUP(A268,[2]SE_SUMMIT_2042_US40!$A:$Y,23,FALSE)</f>
        <v>0</v>
      </c>
      <c r="K268">
        <f>VLOOKUP(A268,[2]SE_SUMMIT_2042_US40!$A:$Y,24,FALSE)</f>
        <v>0</v>
      </c>
      <c r="L268">
        <f>VLOOKUP(A268,[2]SE_SUMMIT_2042_US40!$A:$Y,25,FALSE)</f>
        <v>0</v>
      </c>
      <c r="M268">
        <f>VLOOKUP(A268,[2]SE_SUMMIT_2042_US40!$A:$Z,26,FALSE)</f>
        <v>0</v>
      </c>
      <c r="N268">
        <f>VLOOKUP(A268,[3]SE_SUMMIT_2050_US40_Richardson_!$A:$Y,23,FALSE)</f>
        <v>0</v>
      </c>
      <c r="O268">
        <f>VLOOKUP(A268,[3]SE_SUMMIT_2050_US40_Richardson_!$A:$Y,24,FALSE)</f>
        <v>0</v>
      </c>
      <c r="P268">
        <f>VLOOKUP(A268,[3]SE_SUMMIT_2050_US40_Richardson_!$A:$Y,25,FALSE)</f>
        <v>0</v>
      </c>
      <c r="Q268">
        <f>VLOOKUP(A268,[3]SE_SUMMIT_2050_US40_Richardson_!$A:$Z,26,FALSE)</f>
        <v>0</v>
      </c>
      <c r="R268">
        <f t="shared" si="16"/>
        <v>0</v>
      </c>
      <c r="S268">
        <f t="shared" si="17"/>
        <v>0</v>
      </c>
      <c r="T268">
        <f t="shared" si="18"/>
        <v>0</v>
      </c>
      <c r="U268">
        <f t="shared" si="19"/>
        <v>0</v>
      </c>
    </row>
    <row r="269" spans="1:21" x14ac:dyDescent="0.25">
      <c r="A269">
        <v>43268</v>
      </c>
      <c r="B269">
        <v>0</v>
      </c>
      <c r="C269">
        <v>0</v>
      </c>
      <c r="D269">
        <v>55</v>
      </c>
      <c r="E269">
        <v>0</v>
      </c>
      <c r="F269">
        <f>VLOOKUP(A269,[1]SE_SUMMIT_2032_US40!$A:$Y,23,FALSE)</f>
        <v>0</v>
      </c>
      <c r="G269">
        <f>VLOOKUP(A269,[1]SE_SUMMIT_2032_US40!$A:$Y,24,FALSE)</f>
        <v>0</v>
      </c>
      <c r="H269">
        <f>VLOOKUP(A269,[1]SE_SUMMIT_2032_US40!$A:$Y,25,FALSE)</f>
        <v>55</v>
      </c>
      <c r="I269">
        <f>VLOOKUP(A269,[1]SE_SUMMIT_2032_US40!$A:$Z,26,FALSE)</f>
        <v>0</v>
      </c>
      <c r="J269">
        <f>VLOOKUP(A269,[2]SE_SUMMIT_2042_US40!$A:$Y,23,FALSE)</f>
        <v>0</v>
      </c>
      <c r="K269">
        <f>VLOOKUP(A269,[2]SE_SUMMIT_2042_US40!$A:$Y,24,FALSE)</f>
        <v>0</v>
      </c>
      <c r="L269">
        <f>VLOOKUP(A269,[2]SE_SUMMIT_2042_US40!$A:$Y,25,FALSE)</f>
        <v>55</v>
      </c>
      <c r="M269">
        <f>VLOOKUP(A269,[2]SE_SUMMIT_2042_US40!$A:$Z,26,FALSE)</f>
        <v>0</v>
      </c>
      <c r="N269">
        <f>VLOOKUP(A269,[3]SE_SUMMIT_2050_US40_Richardson_!$A:$Y,23,FALSE)</f>
        <v>0</v>
      </c>
      <c r="O269">
        <f>VLOOKUP(A269,[3]SE_SUMMIT_2050_US40_Richardson_!$A:$Y,24,FALSE)</f>
        <v>0</v>
      </c>
      <c r="P269">
        <f>VLOOKUP(A269,[3]SE_SUMMIT_2050_US40_Richardson_!$A:$Y,25,FALSE)</f>
        <v>55</v>
      </c>
      <c r="Q269">
        <f>VLOOKUP(A269,[3]SE_SUMMIT_2050_US40_Richardson_!$A:$Z,26,FALSE)</f>
        <v>0</v>
      </c>
      <c r="R269">
        <f t="shared" si="16"/>
        <v>0</v>
      </c>
      <c r="S269">
        <f t="shared" si="17"/>
        <v>0</v>
      </c>
      <c r="T269">
        <f t="shared" si="18"/>
        <v>0</v>
      </c>
      <c r="U269">
        <f t="shared" si="19"/>
        <v>0</v>
      </c>
    </row>
    <row r="270" spans="1:21" x14ac:dyDescent="0.25">
      <c r="A270">
        <v>43269</v>
      </c>
      <c r="B270">
        <v>5</v>
      </c>
      <c r="C270">
        <v>0</v>
      </c>
      <c r="D270">
        <v>0</v>
      </c>
      <c r="E270">
        <v>0</v>
      </c>
      <c r="F270">
        <f>VLOOKUP(A270,[1]SE_SUMMIT_2032_US40!$A:$Y,23,FALSE)</f>
        <v>5</v>
      </c>
      <c r="G270">
        <f>VLOOKUP(A270,[1]SE_SUMMIT_2032_US40!$A:$Y,24,FALSE)</f>
        <v>0</v>
      </c>
      <c r="H270">
        <f>VLOOKUP(A270,[1]SE_SUMMIT_2032_US40!$A:$Y,25,FALSE)</f>
        <v>0</v>
      </c>
      <c r="I270">
        <f>VLOOKUP(A270,[1]SE_SUMMIT_2032_US40!$A:$Z,26,FALSE)</f>
        <v>0</v>
      </c>
      <c r="J270">
        <f>VLOOKUP(A270,[2]SE_SUMMIT_2042_US40!$A:$Y,23,FALSE)</f>
        <v>5</v>
      </c>
      <c r="K270">
        <f>VLOOKUP(A270,[2]SE_SUMMIT_2042_US40!$A:$Y,24,FALSE)</f>
        <v>0</v>
      </c>
      <c r="L270">
        <f>VLOOKUP(A270,[2]SE_SUMMIT_2042_US40!$A:$Y,25,FALSE)</f>
        <v>0</v>
      </c>
      <c r="M270">
        <f>VLOOKUP(A270,[2]SE_SUMMIT_2042_US40!$A:$Z,26,FALSE)</f>
        <v>0</v>
      </c>
      <c r="N270">
        <f>VLOOKUP(A270,[3]SE_SUMMIT_2050_US40_Richardson_!$A:$Y,23,FALSE)</f>
        <v>5</v>
      </c>
      <c r="O270">
        <f>VLOOKUP(A270,[3]SE_SUMMIT_2050_US40_Richardson_!$A:$Y,24,FALSE)</f>
        <v>0</v>
      </c>
      <c r="P270">
        <f>VLOOKUP(A270,[3]SE_SUMMIT_2050_US40_Richardson_!$A:$Y,25,FALSE)</f>
        <v>0</v>
      </c>
      <c r="Q270">
        <f>VLOOKUP(A270,[3]SE_SUMMIT_2050_US40_Richardson_!$A:$Z,26,FALSE)</f>
        <v>0</v>
      </c>
      <c r="R270">
        <f t="shared" si="16"/>
        <v>0</v>
      </c>
      <c r="S270">
        <f t="shared" si="17"/>
        <v>0</v>
      </c>
      <c r="T270">
        <f t="shared" si="18"/>
        <v>0</v>
      </c>
      <c r="U270">
        <f t="shared" si="19"/>
        <v>0</v>
      </c>
    </row>
    <row r="271" spans="1:21" x14ac:dyDescent="0.25">
      <c r="A271">
        <v>43270</v>
      </c>
      <c r="B271">
        <v>0</v>
      </c>
      <c r="C271">
        <v>0</v>
      </c>
      <c r="D271">
        <v>15</v>
      </c>
      <c r="E271">
        <v>0</v>
      </c>
      <c r="F271">
        <f>VLOOKUP(A271,[1]SE_SUMMIT_2032_US40!$A:$Y,23,FALSE)</f>
        <v>0</v>
      </c>
      <c r="G271">
        <f>VLOOKUP(A271,[1]SE_SUMMIT_2032_US40!$A:$Y,24,FALSE)</f>
        <v>0</v>
      </c>
      <c r="H271">
        <f>VLOOKUP(A271,[1]SE_SUMMIT_2032_US40!$A:$Y,25,FALSE)</f>
        <v>15</v>
      </c>
      <c r="I271">
        <f>VLOOKUP(A271,[1]SE_SUMMIT_2032_US40!$A:$Z,26,FALSE)</f>
        <v>0</v>
      </c>
      <c r="J271">
        <f>VLOOKUP(A271,[2]SE_SUMMIT_2042_US40!$A:$Y,23,FALSE)</f>
        <v>0</v>
      </c>
      <c r="K271">
        <f>VLOOKUP(A271,[2]SE_SUMMIT_2042_US40!$A:$Y,24,FALSE)</f>
        <v>0</v>
      </c>
      <c r="L271">
        <f>VLOOKUP(A271,[2]SE_SUMMIT_2042_US40!$A:$Y,25,FALSE)</f>
        <v>15</v>
      </c>
      <c r="M271">
        <f>VLOOKUP(A271,[2]SE_SUMMIT_2042_US40!$A:$Z,26,FALSE)</f>
        <v>0</v>
      </c>
      <c r="N271">
        <f>VLOOKUP(A271,[3]SE_SUMMIT_2050_US40_Richardson_!$A:$Y,23,FALSE)</f>
        <v>0</v>
      </c>
      <c r="O271">
        <f>VLOOKUP(A271,[3]SE_SUMMIT_2050_US40_Richardson_!$A:$Y,24,FALSE)</f>
        <v>0</v>
      </c>
      <c r="P271">
        <f>VLOOKUP(A271,[3]SE_SUMMIT_2050_US40_Richardson_!$A:$Y,25,FALSE)</f>
        <v>15</v>
      </c>
      <c r="Q271">
        <f>VLOOKUP(A271,[3]SE_SUMMIT_2050_US40_Richardson_!$A:$Z,26,FALSE)</f>
        <v>0</v>
      </c>
      <c r="R271">
        <f t="shared" si="16"/>
        <v>0</v>
      </c>
      <c r="S271">
        <f t="shared" si="17"/>
        <v>0</v>
      </c>
      <c r="T271">
        <f t="shared" si="18"/>
        <v>0</v>
      </c>
      <c r="U271">
        <f t="shared" si="19"/>
        <v>0</v>
      </c>
    </row>
    <row r="272" spans="1:21" x14ac:dyDescent="0.25">
      <c r="A272">
        <v>43271</v>
      </c>
      <c r="B272">
        <v>0</v>
      </c>
      <c r="C272">
        <v>0</v>
      </c>
      <c r="D272">
        <v>4</v>
      </c>
      <c r="E272">
        <v>0</v>
      </c>
      <c r="F272">
        <f>VLOOKUP(A272,[1]SE_SUMMIT_2032_US40!$A:$Y,23,FALSE)</f>
        <v>0</v>
      </c>
      <c r="G272">
        <f>VLOOKUP(A272,[1]SE_SUMMIT_2032_US40!$A:$Y,24,FALSE)</f>
        <v>0</v>
      </c>
      <c r="H272">
        <f>VLOOKUP(A272,[1]SE_SUMMIT_2032_US40!$A:$Y,25,FALSE)</f>
        <v>4</v>
      </c>
      <c r="I272">
        <f>VLOOKUP(A272,[1]SE_SUMMIT_2032_US40!$A:$Z,26,FALSE)</f>
        <v>0</v>
      </c>
      <c r="J272">
        <f>VLOOKUP(A272,[2]SE_SUMMIT_2042_US40!$A:$Y,23,FALSE)</f>
        <v>0</v>
      </c>
      <c r="K272">
        <f>VLOOKUP(A272,[2]SE_SUMMIT_2042_US40!$A:$Y,24,FALSE)</f>
        <v>0</v>
      </c>
      <c r="L272">
        <f>VLOOKUP(A272,[2]SE_SUMMIT_2042_US40!$A:$Y,25,FALSE)</f>
        <v>4</v>
      </c>
      <c r="M272">
        <f>VLOOKUP(A272,[2]SE_SUMMIT_2042_US40!$A:$Z,26,FALSE)</f>
        <v>0</v>
      </c>
      <c r="N272">
        <f>VLOOKUP(A272,[3]SE_SUMMIT_2050_US40_Richardson_!$A:$Y,23,FALSE)</f>
        <v>0</v>
      </c>
      <c r="O272">
        <f>VLOOKUP(A272,[3]SE_SUMMIT_2050_US40_Richardson_!$A:$Y,24,FALSE)</f>
        <v>0</v>
      </c>
      <c r="P272">
        <f>VLOOKUP(A272,[3]SE_SUMMIT_2050_US40_Richardson_!$A:$Y,25,FALSE)</f>
        <v>4</v>
      </c>
      <c r="Q272">
        <f>VLOOKUP(A272,[3]SE_SUMMIT_2050_US40_Richardson_!$A:$Z,26,FALSE)</f>
        <v>0</v>
      </c>
      <c r="R272">
        <f t="shared" si="16"/>
        <v>0</v>
      </c>
      <c r="S272">
        <f t="shared" si="17"/>
        <v>0</v>
      </c>
      <c r="T272">
        <f t="shared" si="18"/>
        <v>0</v>
      </c>
      <c r="U272">
        <f t="shared" si="19"/>
        <v>0</v>
      </c>
    </row>
    <row r="273" spans="1:21" x14ac:dyDescent="0.25">
      <c r="A273">
        <v>43272</v>
      </c>
      <c r="B273">
        <v>0</v>
      </c>
      <c r="C273">
        <v>0</v>
      </c>
      <c r="D273">
        <v>61</v>
      </c>
      <c r="E273">
        <v>0</v>
      </c>
      <c r="F273">
        <f>VLOOKUP(A273,[1]SE_SUMMIT_2032_US40!$A:$Y,23,FALSE)</f>
        <v>0</v>
      </c>
      <c r="G273">
        <f>VLOOKUP(A273,[1]SE_SUMMIT_2032_US40!$A:$Y,24,FALSE)</f>
        <v>0</v>
      </c>
      <c r="H273">
        <f>VLOOKUP(A273,[1]SE_SUMMIT_2032_US40!$A:$Y,25,FALSE)</f>
        <v>61</v>
      </c>
      <c r="I273">
        <f>VLOOKUP(A273,[1]SE_SUMMIT_2032_US40!$A:$Z,26,FALSE)</f>
        <v>0</v>
      </c>
      <c r="J273">
        <f>VLOOKUP(A273,[2]SE_SUMMIT_2042_US40!$A:$Y,23,FALSE)</f>
        <v>0</v>
      </c>
      <c r="K273">
        <f>VLOOKUP(A273,[2]SE_SUMMIT_2042_US40!$A:$Y,24,FALSE)</f>
        <v>0</v>
      </c>
      <c r="L273">
        <f>VLOOKUP(A273,[2]SE_SUMMIT_2042_US40!$A:$Y,25,FALSE)</f>
        <v>61</v>
      </c>
      <c r="M273">
        <f>VLOOKUP(A273,[2]SE_SUMMIT_2042_US40!$A:$Z,26,FALSE)</f>
        <v>0</v>
      </c>
      <c r="N273">
        <f>VLOOKUP(A273,[3]SE_SUMMIT_2050_US40_Richardson_!$A:$Y,23,FALSE)</f>
        <v>0</v>
      </c>
      <c r="O273">
        <f>VLOOKUP(A273,[3]SE_SUMMIT_2050_US40_Richardson_!$A:$Y,24,FALSE)</f>
        <v>0</v>
      </c>
      <c r="P273">
        <f>VLOOKUP(A273,[3]SE_SUMMIT_2050_US40_Richardson_!$A:$Y,25,FALSE)</f>
        <v>61</v>
      </c>
      <c r="Q273">
        <f>VLOOKUP(A273,[3]SE_SUMMIT_2050_US40_Richardson_!$A:$Z,26,FALSE)</f>
        <v>0</v>
      </c>
      <c r="R273">
        <f t="shared" si="16"/>
        <v>0</v>
      </c>
      <c r="S273">
        <f t="shared" si="17"/>
        <v>0</v>
      </c>
      <c r="T273">
        <f t="shared" si="18"/>
        <v>0</v>
      </c>
      <c r="U273">
        <f t="shared" si="19"/>
        <v>0</v>
      </c>
    </row>
    <row r="274" spans="1:21" x14ac:dyDescent="0.25">
      <c r="A274">
        <v>43273</v>
      </c>
      <c r="B274">
        <v>0</v>
      </c>
      <c r="C274">
        <v>0</v>
      </c>
      <c r="D274">
        <v>0</v>
      </c>
      <c r="E274">
        <v>0</v>
      </c>
      <c r="F274">
        <f>VLOOKUP(A274,[1]SE_SUMMIT_2032_US40!$A:$Y,23,FALSE)</f>
        <v>0</v>
      </c>
      <c r="G274">
        <f>VLOOKUP(A274,[1]SE_SUMMIT_2032_US40!$A:$Y,24,FALSE)</f>
        <v>0</v>
      </c>
      <c r="H274">
        <f>VLOOKUP(A274,[1]SE_SUMMIT_2032_US40!$A:$Y,25,FALSE)</f>
        <v>0</v>
      </c>
      <c r="I274">
        <f>VLOOKUP(A274,[1]SE_SUMMIT_2032_US40!$A:$Z,26,FALSE)</f>
        <v>0</v>
      </c>
      <c r="J274">
        <f>VLOOKUP(A274,[2]SE_SUMMIT_2042_US40!$A:$Y,23,FALSE)</f>
        <v>0</v>
      </c>
      <c r="K274">
        <f>VLOOKUP(A274,[2]SE_SUMMIT_2042_US40!$A:$Y,24,FALSE)</f>
        <v>0</v>
      </c>
      <c r="L274">
        <f>VLOOKUP(A274,[2]SE_SUMMIT_2042_US40!$A:$Y,25,FALSE)</f>
        <v>0</v>
      </c>
      <c r="M274">
        <f>VLOOKUP(A274,[2]SE_SUMMIT_2042_US40!$A:$Z,26,FALSE)</f>
        <v>0</v>
      </c>
      <c r="N274">
        <f>VLOOKUP(A274,[3]SE_SUMMIT_2050_US40_Richardson_!$A:$Y,23,FALSE)</f>
        <v>0</v>
      </c>
      <c r="O274">
        <f>VLOOKUP(A274,[3]SE_SUMMIT_2050_US40_Richardson_!$A:$Y,24,FALSE)</f>
        <v>0</v>
      </c>
      <c r="P274">
        <f>VLOOKUP(A274,[3]SE_SUMMIT_2050_US40_Richardson_!$A:$Y,25,FALSE)</f>
        <v>0</v>
      </c>
      <c r="Q274">
        <f>VLOOKUP(A274,[3]SE_SUMMIT_2050_US40_Richardson_!$A:$Z,26,FALSE)</f>
        <v>0</v>
      </c>
      <c r="R274">
        <f t="shared" si="16"/>
        <v>0</v>
      </c>
      <c r="S274">
        <f t="shared" si="17"/>
        <v>0</v>
      </c>
      <c r="T274">
        <f t="shared" si="18"/>
        <v>0</v>
      </c>
      <c r="U274">
        <f t="shared" si="19"/>
        <v>0</v>
      </c>
    </row>
    <row r="275" spans="1:21" x14ac:dyDescent="0.25">
      <c r="A275">
        <v>43274</v>
      </c>
      <c r="B275">
        <v>0</v>
      </c>
      <c r="C275">
        <v>0</v>
      </c>
      <c r="D275">
        <v>0</v>
      </c>
      <c r="E275">
        <v>378</v>
      </c>
      <c r="F275">
        <f>VLOOKUP(A275,[1]SE_SUMMIT_2032_US40!$A:$Y,23,FALSE)</f>
        <v>0</v>
      </c>
      <c r="G275">
        <f>VLOOKUP(A275,[1]SE_SUMMIT_2032_US40!$A:$Y,24,FALSE)</f>
        <v>0</v>
      </c>
      <c r="H275">
        <f>VLOOKUP(A275,[1]SE_SUMMIT_2032_US40!$A:$Y,25,FALSE)</f>
        <v>0</v>
      </c>
      <c r="I275">
        <f>VLOOKUP(A275,[1]SE_SUMMIT_2032_US40!$A:$Z,26,FALSE)</f>
        <v>413</v>
      </c>
      <c r="J275">
        <f>VLOOKUP(A275,[2]SE_SUMMIT_2042_US40!$A:$Y,23,FALSE)</f>
        <v>0</v>
      </c>
      <c r="K275">
        <f>VLOOKUP(A275,[2]SE_SUMMIT_2042_US40!$A:$Y,24,FALSE)</f>
        <v>0</v>
      </c>
      <c r="L275">
        <f>VLOOKUP(A275,[2]SE_SUMMIT_2042_US40!$A:$Y,25,FALSE)</f>
        <v>0</v>
      </c>
      <c r="M275">
        <f>VLOOKUP(A275,[2]SE_SUMMIT_2042_US40!$A:$Z,26,FALSE)</f>
        <v>413</v>
      </c>
      <c r="N275">
        <f>VLOOKUP(A275,[3]SE_SUMMIT_2050_US40_Richardson_!$A:$Y,23,FALSE)</f>
        <v>0</v>
      </c>
      <c r="O275">
        <f>VLOOKUP(A275,[3]SE_SUMMIT_2050_US40_Richardson_!$A:$Y,24,FALSE)</f>
        <v>0</v>
      </c>
      <c r="P275">
        <f>VLOOKUP(A275,[3]SE_SUMMIT_2050_US40_Richardson_!$A:$Y,25,FALSE)</f>
        <v>0</v>
      </c>
      <c r="Q275">
        <f>VLOOKUP(A275,[3]SE_SUMMIT_2050_US40_Richardson_!$A:$Z,26,FALSE)</f>
        <v>413</v>
      </c>
      <c r="R275">
        <f t="shared" si="16"/>
        <v>0</v>
      </c>
      <c r="S275">
        <f t="shared" si="17"/>
        <v>0</v>
      </c>
      <c r="T275">
        <f t="shared" si="18"/>
        <v>0</v>
      </c>
      <c r="U275">
        <f t="shared" si="19"/>
        <v>35</v>
      </c>
    </row>
    <row r="276" spans="1:21" x14ac:dyDescent="0.25">
      <c r="A276">
        <v>43275</v>
      </c>
      <c r="B276">
        <v>0</v>
      </c>
      <c r="C276">
        <v>0</v>
      </c>
      <c r="D276">
        <v>256</v>
      </c>
      <c r="E276">
        <v>0</v>
      </c>
      <c r="F276">
        <f>VLOOKUP(A276,[1]SE_SUMMIT_2032_US40!$A:$Y,23,FALSE)</f>
        <v>0</v>
      </c>
      <c r="G276">
        <f>VLOOKUP(A276,[1]SE_SUMMIT_2032_US40!$A:$Y,24,FALSE)</f>
        <v>0</v>
      </c>
      <c r="H276">
        <f>VLOOKUP(A276,[1]SE_SUMMIT_2032_US40!$A:$Y,25,FALSE)</f>
        <v>256</v>
      </c>
      <c r="I276">
        <f>VLOOKUP(A276,[1]SE_SUMMIT_2032_US40!$A:$Z,26,FALSE)</f>
        <v>0</v>
      </c>
      <c r="J276">
        <f>VLOOKUP(A276,[2]SE_SUMMIT_2042_US40!$A:$Y,23,FALSE)</f>
        <v>0</v>
      </c>
      <c r="K276">
        <f>VLOOKUP(A276,[2]SE_SUMMIT_2042_US40!$A:$Y,24,FALSE)</f>
        <v>0</v>
      </c>
      <c r="L276">
        <f>VLOOKUP(A276,[2]SE_SUMMIT_2042_US40!$A:$Y,25,FALSE)</f>
        <v>256</v>
      </c>
      <c r="M276">
        <f>VLOOKUP(A276,[2]SE_SUMMIT_2042_US40!$A:$Z,26,FALSE)</f>
        <v>0</v>
      </c>
      <c r="N276">
        <f>VLOOKUP(A276,[3]SE_SUMMIT_2050_US40_Richardson_!$A:$Y,23,FALSE)</f>
        <v>0</v>
      </c>
      <c r="O276">
        <f>VLOOKUP(A276,[3]SE_SUMMIT_2050_US40_Richardson_!$A:$Y,24,FALSE)</f>
        <v>0</v>
      </c>
      <c r="P276">
        <f>VLOOKUP(A276,[3]SE_SUMMIT_2050_US40_Richardson_!$A:$Y,25,FALSE)</f>
        <v>256</v>
      </c>
      <c r="Q276">
        <f>VLOOKUP(A276,[3]SE_SUMMIT_2050_US40_Richardson_!$A:$Z,26,FALSE)</f>
        <v>0</v>
      </c>
      <c r="R276">
        <f t="shared" si="16"/>
        <v>0</v>
      </c>
      <c r="S276">
        <f t="shared" si="17"/>
        <v>0</v>
      </c>
      <c r="T276">
        <f t="shared" si="18"/>
        <v>0</v>
      </c>
      <c r="U276">
        <f t="shared" si="19"/>
        <v>0</v>
      </c>
    </row>
    <row r="277" spans="1:21" x14ac:dyDescent="0.25">
      <c r="A277">
        <v>43276</v>
      </c>
      <c r="B277">
        <v>1</v>
      </c>
      <c r="C277">
        <v>0</v>
      </c>
      <c r="D277">
        <v>34</v>
      </c>
      <c r="E277">
        <v>0</v>
      </c>
      <c r="F277">
        <f>VLOOKUP(A277,[1]SE_SUMMIT_2032_US40!$A:$Y,23,FALSE)</f>
        <v>1</v>
      </c>
      <c r="G277">
        <f>VLOOKUP(A277,[1]SE_SUMMIT_2032_US40!$A:$Y,24,FALSE)</f>
        <v>0</v>
      </c>
      <c r="H277">
        <f>VLOOKUP(A277,[1]SE_SUMMIT_2032_US40!$A:$Y,25,FALSE)</f>
        <v>34</v>
      </c>
      <c r="I277">
        <f>VLOOKUP(A277,[1]SE_SUMMIT_2032_US40!$A:$Z,26,FALSE)</f>
        <v>0</v>
      </c>
      <c r="J277">
        <f>VLOOKUP(A277,[2]SE_SUMMIT_2042_US40!$A:$Y,23,FALSE)</f>
        <v>1</v>
      </c>
      <c r="K277">
        <f>VLOOKUP(A277,[2]SE_SUMMIT_2042_US40!$A:$Y,24,FALSE)</f>
        <v>0</v>
      </c>
      <c r="L277">
        <f>VLOOKUP(A277,[2]SE_SUMMIT_2042_US40!$A:$Y,25,FALSE)</f>
        <v>34</v>
      </c>
      <c r="M277">
        <f>VLOOKUP(A277,[2]SE_SUMMIT_2042_US40!$A:$Z,26,FALSE)</f>
        <v>0</v>
      </c>
      <c r="N277">
        <f>VLOOKUP(A277,[3]SE_SUMMIT_2050_US40_Richardson_!$A:$Y,23,FALSE)</f>
        <v>1</v>
      </c>
      <c r="O277">
        <f>VLOOKUP(A277,[3]SE_SUMMIT_2050_US40_Richardson_!$A:$Y,24,FALSE)</f>
        <v>0</v>
      </c>
      <c r="P277">
        <f>VLOOKUP(A277,[3]SE_SUMMIT_2050_US40_Richardson_!$A:$Y,25,FALSE)</f>
        <v>34</v>
      </c>
      <c r="Q277">
        <f>VLOOKUP(A277,[3]SE_SUMMIT_2050_US40_Richardson_!$A:$Z,26,FALSE)</f>
        <v>0</v>
      </c>
      <c r="R277">
        <f t="shared" si="16"/>
        <v>0</v>
      </c>
      <c r="S277">
        <f t="shared" si="17"/>
        <v>0</v>
      </c>
      <c r="T277">
        <f t="shared" si="18"/>
        <v>0</v>
      </c>
      <c r="U277">
        <f t="shared" si="19"/>
        <v>0</v>
      </c>
    </row>
    <row r="278" spans="1:21" x14ac:dyDescent="0.25">
      <c r="A278">
        <v>43277</v>
      </c>
      <c r="B278">
        <v>8</v>
      </c>
      <c r="C278">
        <v>0</v>
      </c>
      <c r="D278">
        <v>0</v>
      </c>
      <c r="E278">
        <v>0</v>
      </c>
      <c r="F278">
        <f>VLOOKUP(A278,[1]SE_SUMMIT_2032_US40!$A:$Y,23,FALSE)</f>
        <v>8</v>
      </c>
      <c r="G278">
        <f>VLOOKUP(A278,[1]SE_SUMMIT_2032_US40!$A:$Y,24,FALSE)</f>
        <v>0</v>
      </c>
      <c r="H278">
        <f>VLOOKUP(A278,[1]SE_SUMMIT_2032_US40!$A:$Y,25,FALSE)</f>
        <v>0</v>
      </c>
      <c r="I278">
        <f>VLOOKUP(A278,[1]SE_SUMMIT_2032_US40!$A:$Z,26,FALSE)</f>
        <v>0</v>
      </c>
      <c r="J278">
        <f>VLOOKUP(A278,[2]SE_SUMMIT_2042_US40!$A:$Y,23,FALSE)</f>
        <v>8</v>
      </c>
      <c r="K278">
        <f>VLOOKUP(A278,[2]SE_SUMMIT_2042_US40!$A:$Y,24,FALSE)</f>
        <v>0</v>
      </c>
      <c r="L278">
        <f>VLOOKUP(A278,[2]SE_SUMMIT_2042_US40!$A:$Y,25,FALSE)</f>
        <v>0</v>
      </c>
      <c r="M278">
        <f>VLOOKUP(A278,[2]SE_SUMMIT_2042_US40!$A:$Z,26,FALSE)</f>
        <v>0</v>
      </c>
      <c r="N278">
        <f>VLOOKUP(A278,[3]SE_SUMMIT_2050_US40_Richardson_!$A:$Y,23,FALSE)</f>
        <v>8</v>
      </c>
      <c r="O278">
        <f>VLOOKUP(A278,[3]SE_SUMMIT_2050_US40_Richardson_!$A:$Y,24,FALSE)</f>
        <v>0</v>
      </c>
      <c r="P278">
        <f>VLOOKUP(A278,[3]SE_SUMMIT_2050_US40_Richardson_!$A:$Y,25,FALSE)</f>
        <v>0</v>
      </c>
      <c r="Q278">
        <f>VLOOKUP(A278,[3]SE_SUMMIT_2050_US40_Richardson_!$A:$Z,26,FALSE)</f>
        <v>0</v>
      </c>
      <c r="R278">
        <f t="shared" si="16"/>
        <v>0</v>
      </c>
      <c r="S278">
        <f t="shared" si="17"/>
        <v>0</v>
      </c>
      <c r="T278">
        <f t="shared" si="18"/>
        <v>0</v>
      </c>
      <c r="U278">
        <f t="shared" si="19"/>
        <v>0</v>
      </c>
    </row>
    <row r="279" spans="1:21" x14ac:dyDescent="0.25">
      <c r="A279">
        <v>43278</v>
      </c>
      <c r="B279">
        <v>26</v>
      </c>
      <c r="C279">
        <v>0</v>
      </c>
      <c r="D279">
        <v>0</v>
      </c>
      <c r="E279">
        <v>0</v>
      </c>
      <c r="F279">
        <f>VLOOKUP(A279,[1]SE_SUMMIT_2032_US40!$A:$Y,23,FALSE)</f>
        <v>26</v>
      </c>
      <c r="G279">
        <f>VLOOKUP(A279,[1]SE_SUMMIT_2032_US40!$A:$Y,24,FALSE)</f>
        <v>0</v>
      </c>
      <c r="H279">
        <f>VLOOKUP(A279,[1]SE_SUMMIT_2032_US40!$A:$Y,25,FALSE)</f>
        <v>0</v>
      </c>
      <c r="I279">
        <f>VLOOKUP(A279,[1]SE_SUMMIT_2032_US40!$A:$Z,26,FALSE)</f>
        <v>0</v>
      </c>
      <c r="J279">
        <f>VLOOKUP(A279,[2]SE_SUMMIT_2042_US40!$A:$Y,23,FALSE)</f>
        <v>26</v>
      </c>
      <c r="K279">
        <f>VLOOKUP(A279,[2]SE_SUMMIT_2042_US40!$A:$Y,24,FALSE)</f>
        <v>0</v>
      </c>
      <c r="L279">
        <f>VLOOKUP(A279,[2]SE_SUMMIT_2042_US40!$A:$Y,25,FALSE)</f>
        <v>0</v>
      </c>
      <c r="M279">
        <f>VLOOKUP(A279,[2]SE_SUMMIT_2042_US40!$A:$Z,26,FALSE)</f>
        <v>0</v>
      </c>
      <c r="N279">
        <f>VLOOKUP(A279,[3]SE_SUMMIT_2050_US40_Richardson_!$A:$Y,23,FALSE)</f>
        <v>26</v>
      </c>
      <c r="O279">
        <f>VLOOKUP(A279,[3]SE_SUMMIT_2050_US40_Richardson_!$A:$Y,24,FALSE)</f>
        <v>0</v>
      </c>
      <c r="P279">
        <f>VLOOKUP(A279,[3]SE_SUMMIT_2050_US40_Richardson_!$A:$Y,25,FALSE)</f>
        <v>0</v>
      </c>
      <c r="Q279">
        <f>VLOOKUP(A279,[3]SE_SUMMIT_2050_US40_Richardson_!$A:$Z,26,FALSE)</f>
        <v>0</v>
      </c>
      <c r="R279">
        <f t="shared" si="16"/>
        <v>0</v>
      </c>
      <c r="S279">
        <f t="shared" si="17"/>
        <v>0</v>
      </c>
      <c r="T279">
        <f t="shared" si="18"/>
        <v>0</v>
      </c>
      <c r="U279">
        <f t="shared" si="19"/>
        <v>0</v>
      </c>
    </row>
  </sheetData>
  <autoFilter ref="A1:V279" xr:uid="{DC1B1874-5D4A-4E94-BE1C-62BBA275935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Wilding</dc:creator>
  <cp:lastModifiedBy>Andrew Wilding</cp:lastModifiedBy>
  <dcterms:created xsi:type="dcterms:W3CDTF">2026-02-26T19:04:51Z</dcterms:created>
  <dcterms:modified xsi:type="dcterms:W3CDTF">2026-02-26T20:42:25Z</dcterms:modified>
</cp:coreProperties>
</file>